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Lnaz\Downloads\CBM\"/>
    </mc:Choice>
  </mc:AlternateContent>
  <bookViews>
    <workbookView xWindow="720" yWindow="180" windowWidth="13640" windowHeight="8990" firstSheet="2" activeTab="2"/>
  </bookViews>
  <sheets>
    <sheet name="HiddenSheet" sheetId="1" state="hidden" r:id="rId1"/>
    <sheet name="CB_DATA_" sheetId="6" state="veryHidden" r:id="rId2"/>
    <sheet name="Model" sheetId="2" r:id="rId3"/>
    <sheet name="ro_HiddenInfo" sheetId="3" state="veryHidden" r:id="rId4"/>
    <sheet name="Variables" sheetId="4" r:id="rId5"/>
    <sheet name="Module1" sheetId="5" state="veryHidden" r:id="rId6"/>
  </sheets>
  <functionGroups builtInGroupCount="18"/>
  <definedNames>
    <definedName name="CB_8c3ef1a5e789422181d22ceae6f863c5" localSheetId="2" hidden="1">Model!$C$16</definedName>
    <definedName name="CB_a34b1fea6d4e49a296be0d0ada493642" localSheetId="2" hidden="1">Model!$C$15</definedName>
    <definedName name="CB_Block_00000000000000000000000000000000" localSheetId="2" hidden="1">"'7.0.0.0"</definedName>
    <definedName name="CB_Block_00000000000000000000000000000001" localSheetId="1" hidden="1">"'636340628281752479"</definedName>
    <definedName name="CB_Block_00000000000000000000000000000001" localSheetId="2" hidden="1">"'636340628281752479"</definedName>
    <definedName name="CB_Block_00000000000000000000000000000003" localSheetId="2" hidden="1">"'11.1.4716.0"</definedName>
    <definedName name="CB_BlockExt_00000000000000000000000000000003" localSheetId="2" hidden="1">"'11.1.2.4.850"</definedName>
    <definedName name="CBWorkbookPriority" localSheetId="1" hidden="1">-1893536339</definedName>
    <definedName name="CBx_9b58009c7a774855b1163df15a9b7215" localSheetId="1" hidden="1">"'CB_DATA_'!$A$1"</definedName>
    <definedName name="CBx_aa54c63e193f4cb28fa16d20dad3e73a" localSheetId="1" hidden="1">"'Model'!$A$1"</definedName>
    <definedName name="CBx_Sheet_Guid" localSheetId="1" hidden="1">"'9b58009c-7a77-4855-b116-3df15a9b7215"</definedName>
    <definedName name="CBx_Sheet_Guid" localSheetId="2" hidden="1">"'aa54c63e-193f-4cb2-8fa1-6d20dad3e73a"</definedName>
    <definedName name="CBx_SheetRef" localSheetId="1" hidden="1">CB_DATA_!$A$14</definedName>
    <definedName name="CBx_SheetRef" localSheetId="2" hidden="1">CB_DATA_!$B$14</definedName>
    <definedName name="CBx_StorageType" localSheetId="1" hidden="1">2</definedName>
    <definedName name="CBx_StorageType" localSheetId="2" hidden="1">2</definedName>
    <definedName name="_xlnm.Print_Area" localSheetId="2">Model!$A$1:$G$17</definedName>
    <definedName name="_xlnm.Print_Area" localSheetId="4">Variables!$A$1:$E$11</definedName>
    <definedName name="RiskAfterRecalcMacro">"Main_Program"</definedName>
    <definedName name="RiskAutoStopPercChange">1.5</definedName>
    <definedName name="RiskCollectDistributionSamples">0</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100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TRUE</definedName>
    <definedName name="RiskRunAfterSimMacro">FALSE</definedName>
    <definedName name="RiskRunBeforeRecalcMacro">FALSE</definedName>
    <definedName name="RiskRunBeforeSimMacro">FALSE</definedName>
    <definedName name="RiskSamplingType">3</definedName>
    <definedName name="RiskShowRiskWindowAtEndOfSimulation">TRUE</definedName>
    <definedName name="RiskStandardRecalc">2</definedName>
    <definedName name="RiskTemplateSheetName">"myTemplate"</definedName>
    <definedName name="RiskUpdateDisplay">TRUE</definedName>
    <definedName name="RiskUseDifferentSeedForEachSim">FALSE</definedName>
    <definedName name="RiskUseFixedSeed">FALSE</definedName>
    <definedName name="RiskUseMultipleCPUs">FALSE</definedName>
  </definedNames>
  <calcPr calcId="171027" calcMode="manual"/>
</workbook>
</file>

<file path=xl/calcChain.xml><?xml version="1.0" encoding="utf-8"?>
<calcChain xmlns="http://schemas.openxmlformats.org/spreadsheetml/2006/main">
  <c r="B11" i="6" l="1"/>
  <c r="A11" i="6"/>
  <c r="F8" i="4" l="1"/>
  <c r="F11" i="2"/>
  <c r="F12" i="2"/>
  <c r="B1" i="3"/>
  <c r="B8" i="4"/>
  <c r="B4" i="4"/>
  <c r="B2" i="4"/>
  <c r="B6" i="4"/>
  <c r="D1" i="1"/>
</calcChain>
</file>

<file path=xl/sharedStrings.xml><?xml version="1.0" encoding="utf-8"?>
<sst xmlns="http://schemas.openxmlformats.org/spreadsheetml/2006/main" count="116" uniqueCount="109">
  <si>
    <t>Inputs</t>
  </si>
  <si>
    <t>Average interarrival time (mins)</t>
  </si>
  <si>
    <t>Serving time mean</t>
  </si>
  <si>
    <t>Serving time stdev</t>
  </si>
  <si>
    <t>Model</t>
  </si>
  <si>
    <t>People in queue</t>
  </si>
  <si>
    <t>Time of day (minutes from 00:00:00)</t>
  </si>
  <si>
    <t>Customer</t>
  </si>
  <si>
    <t>Arrive time</t>
  </si>
  <si>
    <t>Serving time</t>
  </si>
  <si>
    <t>Finish time</t>
  </si>
  <si>
    <t>Latest customer at counter 1</t>
  </si>
  <si>
    <t>Latest customer at counter 2</t>
  </si>
  <si>
    <t>Outputs</t>
  </si>
  <si>
    <t>Total customers served</t>
  </si>
  <si>
    <t>Maximum number in queue</t>
  </si>
  <si>
    <t>Optimize</t>
  </si>
  <si>
    <t>MACROS</t>
  </si>
  <si>
    <t>FORMAT</t>
  </si>
  <si>
    <t>RISKOPT/obj</t>
  </si>
  <si>
    <t>Out. Stats</t>
  </si>
  <si>
    <t>FindThe</t>
  </si>
  <si>
    <t>Start</t>
  </si>
  <si>
    <t>L.FORMULA</t>
  </si>
  <si>
    <t>MaxIter</t>
  </si>
  <si>
    <t>Mean</t>
  </si>
  <si>
    <t>Stop Trials</t>
  </si>
  <si>
    <t>BeforeCalc</t>
  </si>
  <si>
    <t>SmartStop</t>
  </si>
  <si>
    <t>StDev</t>
  </si>
  <si>
    <t>Stop Minutes</t>
  </si>
  <si>
    <t>AfterCalc</t>
  </si>
  <si>
    <t>SameSeed</t>
  </si>
  <si>
    <t>Min</t>
  </si>
  <si>
    <t>Stop Change</t>
  </si>
  <si>
    <t>EndTrial</t>
  </si>
  <si>
    <t>SampleType</t>
  </si>
  <si>
    <t>Max</t>
  </si>
  <si>
    <t>Stop Formula</t>
  </si>
  <si>
    <t>Finish</t>
  </si>
  <si>
    <t>MacroBeforeSim</t>
  </si>
  <si>
    <t>Pop. Size</t>
  </si>
  <si>
    <t>MacroAfterSim</t>
  </si>
  <si>
    <t>UNUSED</t>
  </si>
  <si>
    <t>Seed</t>
  </si>
  <si>
    <t>Up. Display</t>
  </si>
  <si>
    <t>PauseOnErr</t>
  </si>
  <si>
    <t>Gen.Log</t>
  </si>
  <si>
    <t>Graph</t>
  </si>
  <si>
    <t>#Chrom.</t>
  </si>
  <si>
    <t>#Const.</t>
  </si>
  <si>
    <t>Meth+OtherOps</t>
  </si>
  <si>
    <t>Mut.+Op</t>
  </si>
  <si>
    <t>Cross+Op</t>
  </si>
  <si>
    <t>Descr.</t>
  </si>
  <si>
    <t>TimeBlocks</t>
  </si>
  <si>
    <t>Const</t>
  </si>
  <si>
    <t>#Ranges</t>
  </si>
  <si>
    <t>Range</t>
  </si>
  <si>
    <t>Flags</t>
  </si>
  <si>
    <t>ROFUNCEVAL</t>
  </si>
  <si>
    <t>RISKOPT</t>
  </si>
  <si>
    <t>DEVEVAL</t>
  </si>
  <si>
    <t>EVAL</t>
  </si>
  <si>
    <t>Type</t>
  </si>
  <si>
    <t>Entry M.</t>
  </si>
  <si>
    <t>Form.</t>
  </si>
  <si>
    <t>Description</t>
  </si>
  <si>
    <t>LeftVal</t>
  </si>
  <si>
    <t>LeftOp</t>
  </si>
  <si>
    <t>Ref.</t>
  </si>
  <si>
    <t>RightOp</t>
  </si>
  <si>
    <t>RightVal</t>
  </si>
  <si>
    <t>PenaltyFct</t>
  </si>
  <si>
    <t>ROevaltime</t>
  </si>
  <si>
    <t>ROfunc</t>
  </si>
  <si>
    <t>ROparam</t>
  </si>
  <si>
    <t>Label</t>
  </si>
  <si>
    <t>Random Variable</t>
  </si>
  <si>
    <t>Counter Serving Time (min)</t>
  </si>
  <si>
    <t>Customers arriving while serving</t>
  </si>
  <si>
    <t>Wait time for next customer</t>
  </si>
  <si>
    <t>People waiting at 9:00 AM</t>
  </si>
  <si>
    <t>Time in last step</t>
  </si>
  <si>
    <t>Queue model</t>
  </si>
  <si>
    <t>Frequency</t>
  </si>
  <si>
    <t>Total:</t>
  </si>
  <si>
    <r>
      <t xml:space="preserve">Afterwards: </t>
    </r>
    <r>
      <rPr>
        <sz val="10"/>
        <rFont val="Arial"/>
        <family val="2"/>
      </rPr>
      <t>After running this model, delete the macro name from the field underneith the phrase "After Recalculations" to prevent Crystal Ball from running the macro in simultions of all other models</t>
    </r>
  </si>
  <si>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</si>
  <si>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</si>
  <si>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</si>
  <si>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</si>
  <si>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</si>
  <si>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</si>
  <si>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</si>
  <si>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</si>
  <si>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</si>
  <si>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</si>
  <si>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</si>
  <si>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</si>
  <si>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9b58009c-7a77-4855-b116-3df15a9b7215</t>
  </si>
  <si>
    <t>CB_Block_0</t>
  </si>
  <si>
    <t>㜸〱敤㕣㕢㙣ㅣ搵ㄹ摥ㄹ敦慣㜷搶㜶㙣攲㤰㄰慥收㝥㜱戴挴㈱攱㔲㥡〶㕦㜲㌱攴㘲㘲㈷ㄴ㔱扡㡣㜷捦搸㤳散捣㥡㤹㔹㈷愶搰㠶㤶㐲㠱㔶ㄵ昴愱㠵搲ㄶ愱ち戵て慤㐴ㅦ㄰戴昴愱㔲愵㔶ㄵ㔴㝤㐰㤵晡㔰㠹愲㡡㍥戴慡㈲昵㠵〷㉡晡㝤㘷㘶㜶㘷㜷扤㘳戳㐰㙢㉡㑦戲㝦捥㥣晢㌹晦昵晣晦㤹愴㤴㔴㉡昵㍥ㅥ晥换㈷捤挴㠵搳㑢㥥㉦散晣㜸愵㕣ㄶ㐵摦慡㌸㕥㝥搴㜵㡤愵㠳㤶攷㜷愱㐲愶㘰愱摣搳ち㥥昵㠰挸ㄶㄶ㠵敢愱㤲㤶㑡㘵戳扡㡡㜲㜶挲摦㐰昴愲戳㔵㙦ㅡ㘰㘶㝣散挸散〹昴㍡敤㔷㕣戱㙤攸㜸搰㜶昷挸㐸㝥㈴扦昳愶㤱ㅢ昳摢户つ㡤㔷换㝥搵ㄵ扢ㅤ㔱昵㕤愳扣㙤㘸慡㍡㕢戶㡡㜷㠸愵㤹捡㐹攱散ㄶ戳摢㙦㤸㌵㜶摥㍣戲㜳搷㉥昳㤶㕢㙥敥挵搰愹挳攳㘳㔳慥㌰扤㡦愸㑦㡤㔳摥㌹㈱㡡ㄶ搷㈶㠴㙢㌹㜳昹昱㌱晣㡤捤ㅦ㙦㌷攵愷攷㠵昰㌹戴㜰㠵㔳ㄴ㥥㡥㠶㍤昶愸攷㔵敤〵㙥㥥㙥敦挳㔲㡢㠶攷㙢昶戸㈸㤷㜵㍢敡㌵㙢ㅦ挱摥㤵㡤愵㕥㝢㕡㌸㥥攵㕢㡢㤶扦㤴戱㘷搰㔱愹捦㍥收㠹愳㠶㌳㈷づㅢ戶搰散晤㔵慢㤴づ㥥㔴搷搵㔱ㄷ昱㠹挹攵攷㐷㍤㝢㝣摥㜰攵㡣㍣㙥㑣㐲摤㝤㙥戱戱敥攵敤晢攵搴攵〸散昳捡昶昵㔰㜲摣㜰㙢㌵㠷摢搷っㄷ摦㌸㠳敢摢搷㡦敤㔱㘳㥢㙢摢户㤱㕢搹㔸㕢改〹改㕢敥㈸ㄶ愳㘷〸扡〹戲〴㐴愰㥥㈳攸㈱攸〵㔰搲晦〲㤷挴ㅢ戲㐸㉤ㄸ㙡㘱㔶㉤ㄴ搵㐲㐹㉤〸戵㘰慡㠵㌹戵㌰慦ㄶ㉣戵㜰㐲㉤㥣㐴㥤攸挹㜶㜷慢攱㜳挳㕤愵㈷ㅥ摡扤㜷昲挹㝦扦户昳㥤㐷㌷晣愴㜷〳㉡摤ㄹ㑥㙡挲㌵㑥㠱搴敡㔴扣㈳扦㥤㝦㔶收ち㌰㠵戹换扣挹ㅣㄹ㈹敤摡㙥摣㘰㘸㕣㔶〲昲ㅢ〸㘵〰㜵㝢捤扢㉣愷㔴㌹㈵㜱㜷攱㤸攱㠹晡挶つ㠷㘵㘳㤵慡㔳昲㉥㔸扥㜰摡㌷㝣㜱㝥㜳㔹扤㤳㤶㘶搳㘰㉢攱挹昱㉥㙥㙥㜶摣㈸㔷挵攸㘹㉢㈸扥愸愹搸㥥㜲㉢戳敤㑢昷戹攲晥㕡㘹换㡣㐶㈱搴ㄶ㘵摦㉤慢っ㡡㠲㜹つ㡤捦㔷㍣攱挸改つ摢㔳㔶昱愴㜰愷〵㐵愲㈸挹愵㥥换愲㤰敢㠷㡦㌸㔸㈸戸戵㜴㔹㍣搷摣㝢摡〷㌳㡢ㄲ收扢㈰㕣㝦㘹挶㤸㉤㡢捤つ㔵㠲㌱㔱戰戵㈱㝢㕦愵㔸昵挶㉢㡥敦㔶捡㡤㈵愳愵㐵〳㤲愶㜴愸㔲ㄲ改㜴㑡ち〵〸摣慥㉥㐵㐹㕤搷㥥ㄷ㈴㈲㘲㈸㈶㈳㥦搷㐸㜶昹愳㔸ㅤ㔶㔱ㄶ愴㐹昵㡡ㄵ㍡攳㝣愵㡣㐹攰挰搸㥡愸㍦㌸攸㌵㉢㜴㕢挳摣挷㕢㔹㔵〷挳搵敦㕤ㄴ㡥㝦挰㜰㑡㘵攱㈶㙡㍦㠵㌳搲晢〱戴戳㄰〸㙤㜷㡦慡㑥㌹慤㉣㘹愷慣㤲㍦㥦㤹ㄷ搶摣扣㡦㍣㘸挸㙣㤶㕢摢昲攸攷㈰㑢摦㐸㌰〸㤰换愵㌲㥢㔸㈹㤳挳㤳搲㈸㥤ㄲ㜸戹㐱㤰戳㕤〳㉦昷㥡晢慣戲㉦〲愱摣㙦〲㈳㠱㔶㤳攸敢㈳㠹扡㐶㌱㔰ㄸ㥢捣㜱㔰愹㘱㌹晥㔲㥤㙦㕢戸㈴㈰愲㜵㔹戰收㘴〱㐵㐱愳㍣㐸攰㌵㄰㑤㤳㌴㐸慥ㅣ㈳㈲戲㐱㠲㘶㐷捦㡤㐴挶晡〹㌲〲昵攳㐴挸摡摢摢换〸ㄲ㝢㉢㤱戲㔱㕢㝥㕣㤷㘶换搹昲㠱㌴㍢ㄷㅢ愷㙦㈶搸㐲㜰ㅥ挱㔶〰攵ㅤ㐸㌸㑡㌹愴ㅢㅦ晤〲扣敢ㄷㄲ㕣〴〰昹愴㔳收㠴愲㡡㌶搴㙡散㐸搶敢㠳㥤㉣㡤攲㐰ㄴ搱㌲慥搹㤹㝤戶㐴㜴㘸㜵慥つ㕤㥢㤶㍡昶慡昶戴ㄹ㕦づ㈹㌲愱㙡㝣慤㉢㔴㡤㙦〴慢㜶愸户㉥㐱㔳㝤㠸攰㔲㠰㐰戱搰搸㕤㥤㌵㑦㜳昲ㄳ㘱ㄲ〵㠶㔰㠷捡㍤㈴㘲㥡晦〹〲慥攵攸戲㙥㍦搳ㄴㅣ㌶㍦昱昶昳戶昶扣ㅤ㈲扤㐹㘷慥敢ㅣ晡㡡㍥愰〵㝤ㄹ搸㑢昹㜳㕢晤㜲〵㡡昵㉢〹慥〲㘸搲㉦㍣㜹㝦㔰㉦㠱㌴㠹敤ㄸ收㌶搲攳㈲㉤摣㤹愵〵㈱戵㑦慦㌹㘳戸㜳挲㠷昷㘲㜲〲㜶㜰挵㜵㐵ㄹ〷摡㤲捣攰搹㘵㑢㘳愶户捦慤搸捣㕦户㡦扤㑦㠴㘲㐸愷搵慥㔴㤳㝤㥣㘰㘷挶晣㑤㌱捡愱晥扤愱扤㤰㠸㌵㙡㈴㉦戶㑢㍥㕢慥㑢㤲づ㈴挹㌵搸㔶晤㕡〰㐸〹攵㡦㙤㈵捡㌰慢㙤㤳搵ㅡ慤㔵㝡昷ㄲ㑥㈶㑤晥挳ㄶ㌹搲ㄳ㌸㙢挷攰㍢昰晡散㘹换慥〹㡢ㅥ㝢㑡戸㐵昸ㄵ慣戲挸〵㉥㔹㡡㥡㜵㔹昱〹㤱ㄵ㕤㕤㉤㘷改〴摦㥡愴㤳㈶㈹㤱挸敤㠹㠵〹攷昰㍡㔱搱〵㐹愱㤲攰ㄶ慡㐹㈰㔲ㅥ敢慥㡢㤸づ㐴㑣ㅥㅢ愷㕦㑦戰㥤㘰〴㐰晢㍤㈴捤㙡㌷㥥愱戰敥㐵扡戳ぢ㠵㔴㤶㘸㤰敥挱㌷摡ち慢㥤ㅣ㘶ㄷ挱㡤〰㑤收て㥤㡦〹㠴㈸㔱ㅥ㈳㐴㕡㑢扡㜹摣ㄲ愷㐸〳ㅢ㑣〴㤵挶慢㥥㕦戱ㄹ㔵敡㌳㈷㉡㠷㉢晥㠴攵㉤㈰ち㌵㘸㠶㠹扢收㠵〳敡㜲㘱晢㌴攵㔵ㄶㄶ㐴㐹㌷愷㉢㔵㠸戶挹㠹戵㜰㈸挷晡㘰㑢捡㜳戹慡攰改散㙣㡣㉥ㄴ㜹㈲㠶慦㤵㥥搸㔵㜹扥㜹攸敢慦敦攸㡣攵㤷㐵㡦ㄹ㌰ㅤ搳㔹ㄳ扢㠸愸㐱愹摢㥣㤹㜷㠵㤸攸㌳昷扢㔶愹㙣㌹㠲挸㠰㡤挹㐰摤㐱㌱㠷〸挱㔴㠵昱扦㡡搳㘷捥戸㠶攳㉤ㄸっ㈶㉥㙤㙣㜸㤳㈱ㄱ捤ㅣ戳ㅣて挳㐸㉣㌲摤㙦㑥捦㔷㑥㈱㕡㕢戵㥤晤挶㠲户㈶戰㐲愲てㅥ㠹ㅡ㐵㔵㔴㔵挹慡搹㑥昱挳〳㜹㉡戵〳扦㌴㠱挴㔵㑡愳扦㍣㐱㝢搳慥て攳㌳戴搳㌹愷㕥㐴㡥㙡㤹㕤㠹㔲㤸㥣慡摦捣㌶户〰摣扥晦搸㘴㍤㉡昷愱攲搵ㅡ㍤晣〹㌲㕥㤲㐵㉤〸㐲晦摣㠶㠰㔴㤸㐷捡〱〷〲攳㝣㙢㈶扦㥣㈹敢㤰晡㌶搴㤳晢㄰㐵敡㌵てㅡ戳愲㡣㔸戴㙤昸ㅢ㠲ㄷ㥡戱戶㔱昶挲戲昱㡡㙤ㅢ㈴㉤㤲攵㜴搱㈰〵㡦㔶晤捡㈱换搱㑤〰㐹㝦㘱㤶㜱ㅡ㔹挶㘹㤹搵㙢ㅥ㘵㔸㔰愶搹㔷㘵捥㜰㉤㝦摥戶㡡㔹扥㌰㜴户㈶㘸ㄲ㑣㑥挹ㅢ㍤㤱捣ㄸ㙡戲收㡦挱㘴昳昲㐰㜷ㅥ㜲㤴㕢㐷昴㠳㜲㔵㈵㠳㍦㑡㠷㡥㈵〸ㄸ改㈵搵㙦㐵㙦㥡扣ㄹ〱㤱㈳㥦戳搱晤㡢戳㕦㐲㑥攰㤷㈳搶ㄳ㐸〴ㅥ挱㤸㤰愷㝢㍢㘳ㅥ㜳㉣ㅦ搸㈳挶昶㔹晥㠴〷㤴〳㈰㈹㡦户攷㑢慣挶ㅡつ搷戴挲㈵慤㐵つ㙡攲攲搶昲戸摥戸㘲㤹攲㐰愳挴ㄴ挹㑡㤵愴㘶㔹㘶㡥㙢㐹搵㈸㔲㜱㐷摡㐶㐹㜲㥢搶昷㥤㔲攴㐳㈸㈶㐹㌳㈹㝤户㈴ㄴ〴㜹㐹ㅤ搰㔱昴搷㈷㤳㐷㉣㕡㐳ㅢ㈰㐷㍤ㄵ攴昵㠵攱挰㐹㕣㌹㈹㠹㕣昸〶晥摥㄰㈶㡦㔴晤㠶ㄲ攳昴㘰㔸㌲㕡㉥ㅦ㜱㘰㈵ㄴつ户戴㐶㔸ㅡ㙢ぢ㌴㡣攴捥㑥戵㝦戰扤㌱㐶っ搹㤰㈱㤱〴㍦㌰搸㄰捣ㄵ㡢愶搲㍡敢攳㔶搷戲戳㝣㍢㈴っ㐷㘲㘰摡㉦㑤㠸㐵㘹㠶搵㉤昹㐱搹愰㜶㕡㤴㜲㔴㌷㐷㘷㍤愸㜴㥦㜲㍣㑣㐹〶搷捤愳㜴㑢攱〲〳挴㙥㤸㥡㉡晡〸敢搶㍡攰挹㘰敤㘰〷㍢ㄲ㠴㑤㘸㥤㔱㠲㘶ㄲ〸户㜱ㄱ攴㥤づ㌱ち㐱㙡捡攷㥦㝢㤴㘷㥦攱昳攳㍤愹㈸ㄱ㌲ㄱ㐳㕤〹搶〳㤰ㅢ㡦㑡㤲㡢〶愳㘰㜹㈰搹愴搰敡㡤昲㘸㘲昴搱攴㜳㝤摣攰㘱ㅣ慢㥦㙣㔳挶ㅤ㌷摦㠲㌶㉤㉦㙤㌰㈷㥤㘲戹㕡ㄲ㔲ㄵ㐷戲㕡㙡攴㌵㠱㉦㜹晤㉦攰愶㠴㝤〹㌷㘵ㄲ㐷㈹㉥㤹㐸敡摣敥搶㍦㠳收㔲挸愱㡦㐰戶㌱昸㤸攰㤶㤳挱戰㤶㍢ち戴て㌷搶㉦㉦挸㡢㜳㄰㘹㉤㔹㤴㘵〷㜱ㄷ慦ㄶ㐱㤶摣ㄶ慢㜶戰㜲戰㐲㥢㍤㤶㜵挰ち戲搶〴㡥戰捥㐰攰㘵㌲㌰㐶㍡攴づ㜶㤲㍡ㅢ㐶㜶捦㝥㐹扥愶捥敥〹㡤て㠵昱㕤㥥㠲㔲搸㔵㌰ㄲつ㙥戵㙥㜵㉢㡣晣搲昲搶㙦〳㔰ㄸ〲愶㐱㡢㥡㠱㠱㌳㠶昴捡〶づ㠳㤱〹搱搱㜸㈰㤵㌱捡㐱㌸散㠱㌴㜰ㄳて搲㌳ㄵ㈸㈱㝦㤳扣ㄴㄶ摤㑢ㅣ戶㜱〴慡戸㥢㥢㌲愷っㅦ㔷㕦㥣慤㑤搹愳愵ㄲ捤㕤昸攷搶〴㔶㜱㙤㈳㌰㐷㌷㌵㕤挸㤲㙢愲㝤㜷㜹㔳㐱㜸㔱㜰挷㐴晥㠰攱ㄷ攷愷晤愵攰搲㔶愷㈴愱晤ㄲ晥㠸㘵㐷愷捤㥣㜶㜸〹㜵㤱㝢㥦㍢改㔴㑥㌹㜲㕥㥡挷ㅢ㝦戴㘲昵敥㙥㑥㌲㤷㝡ㅦ㝦攴愳愶戴搷搰攳㙡愶捤づ敡づㄲ昶㈳㥦㐰ㅡっ㈱㥤㐰㈷戰摤㙢㌷〶㐸㈷㥢㥡攸㐴ち㠲㜵㐲㜱收㍥㌲㐲㔱㝥〱戴㤲㔸㠲㈳㌹昶晣㐵戰扥昲㜳攴㄰攱㜸て挵㠸㜶㈹㔲〹愸㤳㠲㍣扣摥挱换㈰晦㍦㔸㡡戸㜹㔹㜶晡㉦㌰戳昲㙡㌳㡡㉥㈶㡡㕥㘹㐵ㄱ〳戱ㅦ㈸攴捤搹慦ㅦ㌵㍦昶㙢扤晦挳愳收敤挰㌰ㅦ㘹㡤㈱愸挶㘰㝣捤ㄸ攸㙡㌱〶慥㐴戱㌴〶敥㘰ㅢ挶敢〳㘳㈰昴㜶ㅣ㐲挶捡挶〰愳㜸〹㈶㕦㉣愸ㅡ㜳㘰昰慣戵搹愶㈷散〰慥搷ちて㤱㝢愸㈷㙦ㅣ扥愷㉤慤搹㔳㠶㙢搸㕢㘵晥㝥㔷㐰㙤戹㌳戸慦㉤㥢戰挵昹换㤶挸㐶换㜸㈵㈲㝦晡扡攷㘴㜵户搴㠱愹攰〹ㅣ昵㑡㔶挹㝣〸㥦㠸挲ㄳ㐲敡ぢ㥢㝥扡晦㉦て㍣戲㠷昷搲㐲㕡搵ㄸ〸敥㈴㌸㑦换〱攱摢搸㤵㤰㜳昹昹捤㈱㝣㠸㘴㉤㤴挵㤸攱㑡㝢挷搳敤㈸ㄹ㄰㕥㡣㌰〳攲㕢ぢ挶㈴㙥㌸〴挶㘴扥挹戱㈹㍦㕦㤲捥挰㝣㙣攲搲㝢ㄷ〵〸㤵戶㉡慢㐳扢㔲晢ㄹ㤴捥〷㥣㐸愳㍤挸昳㈵ㅦ㐵㜹愹㔹慢敤愲㔶㤳㘶愲㌲㡣ㅡ㤱㤴㐲愴㠱ㄴㄲ㍦戲㌰昴㉦愵搴ㄴㄲ㕡ㅥ㈰㈱㠶搶ㅣ捣攵挹㝦㕤〸㠸摡昵扥づ㍦㔵挱㉥〲㡢㤱搷扤搳戳㉢慤捥㐸㌵㌱㈸㉢㑦ㅦ㜷㈲㈱㡦㈹捣㘰㤴㔶收ㅥ㐵㈲㝡戴ㄱ愴㔶敤㜸攲㈰㝤㜶㄰㘲ぢㄸ㕢戳改㔵换搹㝢㥤㉡敥㜸㐰捦㘴愴挲㜰㌶㌲ㅢ㐷㑦ㄹ㡤ぢ慡收㠲㉣挲晥㈰㔹㙢搴ㄳㄶ㐱㘷㌹㕢㜱晥㐴㤸㡦摦〳戱㝣戸摥昵戹捤㈵搴㜱㑥㌷ㄶ挸ㅦ散慦㡢ㄳㄸㅢ愳㤲㘳㈰㘱㔷㔵㉢ㅢ㕣〲㥦㐶ㄳ㘹捦㉢㝡㍤挹戱ㄴ㠵搱攸㠸戳扡搴ㄶ晤捦㌸戵攴慣ㄹ搶㘶挰扡㐱晦ㅦ㐷挶㡡晡㕦㘱㤴㑤愲散慥㌰挱ㄷ㡤㤱㤲ㄵ㠳㌳摣ㄱ昸戰ㄱ愶㤱㐷㘰㕤㈶ㄹ摣づ㔲搳昸㐴㌵㈸㤶ㄲㅣㅥ慥㜴昳㈵㠸㕡㕢摡戶㍤㙤〵㈰愳㐰摡㡦㈰㠲摡戶攷愴㕢捦戱㤹扢㤱扤改㤰㔵㜴㉢㕥挵昴㠷愶ㄱ摥ㅤ攲ㄷ㘶㈶㙣㥥㔱攵挵㘶愱㜶㌹㜶愲昷ㅥ戴㌹㝣〴〲晢戰昰㍦慡愸㈳㘳〸慢㡢㔹昰㙢愳㠱㔸㈰㠹摡挱㍢挷扣戳㙡㤴昱㠱敡ㄱ㜸㌵㝤㘶慤〹㘵ㄷ昸㤶㥢敦㘲㜰敢㜰ㅢ敢づ㜸㝥㐴㌹㡦㌰㤸㕣挲㍤昷㜲㕦㥢昷愰戱㙥戸㌶㡦㌵㍢昳慥攵戴ㅦ〲愷慢ㅢ愵㤱㘴㌸㈶扦㍢捥改昷ㄲ㈲捥㐳敦攸敡㕤戱散㙤㄰㜴ㅥ㝥戶㑤㤷搷㜰ㄹ㡥戲㔵挴戹㍦㡦愶捡㙤〴昸改㠵㌰挱ㄷ㠵晥扣㕢㤹㜸ㅥ换㈲〳㈰㥤捡ㄸ〰敤愹晡晢换㔱戵挲愳〵愹㌰愷㝣て攵摣愵㘰戵㈵收攱愸㈱㡦㄰㐸敢〲㈰㝡ㄴㅥ㈱攴昸捦愲㐱㙤晣㌹攴戶ㅦ晦㍢换㡥㑦攵㉦搷ㄷ敦㝦㈰㔲ㅥ晡〹ㄴ敢㈷〹捡〴㌶挰㐰愴㐳晡㈹ㄶ㈹㙢㌲㐱㄰攱搵㍤㐸攳昹㐳昸敦㕢㝢摥㜸㥤捦㍦昶㈸㔲㄰愲愸㜱ㄵㄴ㠴㜲ㄵ㑦挵㔷戱㠰摣昶慢昸收㜲慢ㄸ愰㡣攴㑣㜴ㄷ愰慦㑢㈱慤挸㔵㜹㐸㜰㐳昹㔳㈴㐲㤱㘸㤸挵〰ㄱ㉢摢㔶㤱㐰㕢敥扣㙣扢㠸㐴搴㜶㈰摡ㅥ㡤㍢㤲昰㉤㡦㌴㤴㜸昷㤱敥㥢㑣攰㝦捤〴敡㌱㙢㠷㡥搷㌵㈱㈴戰㌶㝥ㅣ摢㔶戶㘷㍡っ敡㉢㡦㐷ㄸ㍡㜰㈰晡㔰㑡つ挳㑣愰㤰挰㌴㈵㐵㜱㈳㤵慦㐵㤵㕦㝡戹敥㈵㐵〱ㅥ㤰㔱㔰㤹㤴㈷㉢㍦ㄶ㔵摥㠱㡦戰㘴㥤ㄴ㉦つ昰㜹㉢慡㑣ち㤵㤵ㅦ㡤㉡晦㝤挷搶㕡攵㠸㈰㠳㥥㌵㔲㑢㠲搱㉢㡦〱戱て戲㜹扡搶㑣㉡搲ㅥ㌳挸愶〸㤵搱攲戲㔴愵扤戸晦攱攲㤳攸㠳戸捥㠴㕢ㅦ㤰戶挱晦㡣㌰㠹㙢㑥ㄳ㠶㙦攰㡢攷㐵挴㤷㕤㕤扥戱㜱挶㍣攲㈲愳摢㥣昴㜰戸㉡慤㈹ㄲ㠱㕤㤰づ昶㜷〵㍦㝣㠲つ㔹摦㡦㈸㉥愶昲摡㐸㘷㕡㐴挶㔲搲捡㈳ㄱ㘶㔳㘷敡㌴愳㍦〴攴㐰㕥〲㌲愱㝦ㄱ㌰㠸扤㙣㘲挶〰〵㠱攴昲㌳㐸攸てㄳ㝣ㄹ㈰愷㤰敢㐹〷㤹慦〰昴㐷晦㉦挵搰愲㜴㥣愸捡㠳搱㘰㜱㌲搲扦捡〶㡦〲㜴挱㘳慢㠴㐴㤸搳ㅦ㐳㑥㝣㔰㑡㄰㌹攸攳㉣㜸㠲攰㐹㠰㥣挶挹慥㝡搷戸愶づ㔵搸搷搱㔴攱㔶㐸㠱昶㡤㌰挱ㄷ敤っ挰慤敤㡤㘶㥥㠹愳敦昸ㄱ摤㙣昸㘰㝦㉦㍥挰㕦攲愲扢昰晦㡦㘸搲挲㑦慢㥦敡慣㉦㌲㠱挶昹昰攷㘲戳㍦㐴㍦㕣㔷摤搸㘴㡦㥦挶㉦慢㘶㤴㠷昱敦ㄹ晣㤴晢㌱〲㐷愱捡捤挲摦㐲ㅡ㤰〵ぢ㘱〱㜵㤷晥ㄴ㠰㐲ㅣㄳ㑦晡搳㝣㈳㙡搹扦晥慤㌰挱ㄷ㠵㜸㍤挳㐴㌹㙣ㅥつ㐸㕣换㠲㤳㑤〳ㄲ晦戲攰㐴㝣挰㙦㈳㔷㤱挸㐲愲㔱㍤ㄱ㘹㘹收㍥〳搰搷搵捦戹㔱摤愹愷㤵攲㝤愵晢敥㝢户㍦㍤㜴㝥晡戳户昵㍥昳搶敦摥㝥晡捤捦敤晥摢㝢捦㍤昷收㕦㥦㝥晤扤搷㘶㜷晦收㠵ㄷ㝥㝤晢て㕥㝦㝢愳昹扣晡昲扢〷㥦㝦㜰攴攴㠳昷㥢挷慥摢晦攰摤㈷敥ㅣ㤹㍡㘷戸慢慢扢晢敡挱摦㥥㜷捤挰㤹晢㕦㔱㝥昵愷㉤㡥㈲㤷换〱〵㐰昴っ㜰搹㜲ㅡ摦㐵〲搳攰㡣㍦搶㘹㜰戹㘷昰㔳㑡攱㐶㡤攱㈵ぢ攷〶㈷㈰ぢ㡡㡤〵㍤晦〱㉦㜲戲攱</t>
  </si>
  <si>
    <t>Decisioneering:7.0.0.0</t>
  </si>
  <si>
    <t>aa54c63e-193f-4cb2-8fa1-6d20dad3e73a</t>
  </si>
  <si>
    <t>㜸〱敤㕣㕢㙣ㅣ搵ㄹ摥ㄹ敦慣㜷搶㜶㙣攲㤰㄰愰㘰敥ㄷ㐷㑢ㅣㄲ㉥愵㘹昰㠵㕣挰㐹㑣散㠴㈲㑡㤷昱敥ㄹ㝢㤲㥤㔹㘷㘶搶㠹㈹㉤愱愵㔰㝡ㄱ㠲㍥戴㔰摡㈲㔴愱昶愵ㄲ㝤㐰搰㔲㔵㤵慡戶慡愰慡㉡㔴愹て㤵㈸慡摡㠷㔶㔵愴扥昰㠰㐴扦敦捣捣敥散慥㜷㙣ㄶ㘸㥤捡㤳散㥦㌳攷㝥捥㝦㍤晦㝦㈶㈹㈵㤵㑡扤㠷㠷晦昲㐹㌳㜱昱昴㤲攷ぢ㍢㍦㕥㈹㤷㐵搱户㉡㡥㤷ㅦ㜵㕤㘳㘹搲昲晣㉥㔴挸ㄴ㉣㤴㝢㕡挱戳ㅥㄴ搹挲愲㜰㍤㔴搲㔲愹㙣㔶㔷㔱捥㑥昸ㅢ㠸㕥㜴戶敡㑤〳捣㡣㡦ㅤ㥥㍤㡥㕥愷晤㡡㉢戶つㅤぢ摡敥ㅥㄹ挹㡦攴㜷摥㍣㜲㔳㝥晢戶愱昱㙡搹慦扡㘲户㈳慡扥㙢㤴户つ㑤㔵㘷换㔶昱㉥戱㌴㔳㌹㈱㥣摤㘲㜶晢㡤戳挶捥㕢㐶㜶敥摡㘵摥㝡敢㉤扤ㄸ㍡㜵㘸㝣㙣捡ㄵ愶昷㈱昵愹㜱捡㍢㈷㐴搱攲摡㠴㜰㉤㘷㉥㍦㍥㠶扦戱昹攳敤收晣昴扣㄰㍥㠷ㄶ慥㜰㡡挲搳搱戰挷ㅥ昵扣慡扤挰捤搳敤扤㔸㙡搱昰㝣捤ㅥㄷ攵戲㙥㐷扤㘶敤挳搸扢戲戱搴㙢㑦ぢ挷戳㝣㙢搱昲㤷㌲昶っ㍡㉡昵搹㐷㍤㜱挴㜰收挴㈱挳ㄶ㥡扤慦㙡㤵搲挱㤳敡扡㈶敡㈲㍥㌱戹晣晣愸㘷㡦捦ㅢ慥㥣㤱挷㡤㐹愸扢搷㉤㌶搶扤愲㝤扦㥣扡ㅣ㠱㝤㕥搵扥ㅥ㑡㡥ㄹ㙥慤收㜰晢㥡攱攲ㅢ㘷㜰㐳晢晡戱㍤㙡㙣㜳㕤晢㌶㜲㉢ㅢ㙢㉢㍤㈱㝤换ㅤ挵㘲昴っ㐱㌷㐱㤶㠰〸搴㜳〴㍤〴扤〰㑡晡摦攰㤲㜸㐳ㄶ愹〵㐳㉤捣慡㠵愲㕡㈸愹〵愱ㄶ㑣戵㌰愷ㄶ收搵㠲愵ㄶ㡥慢㠵ㄳ愸ㄳ㍤搹敥㙥㌵㝣㌶摣昰昳攷㈶ㅦ扥昵捥㈷晦戰㉤昷慢昳㝡㉦敡摤㠰㑡㜷㠷㤳㥡㜰㡤㔳㈰戵㍡ㄵ敦挸㙦攷㥦㤵戹〲㑣㘱敥㌲㙦㌶㐷㐶㑡扢戶ㅢ㌷ㅡㅡ㤷㤵㠰晣〶㐲ㄹ㐰摤㕥昳ㅥ换㈹㔵㑥㐹摣㕤㍣㘶㜸愲扥㜱挳㘱搹㔸愵敡㤴扣㡢㤶㉦㥣昶つ㕦㕣搸㕣㔶敦愴愵搹㌴搸㑡㜸㜲扣㑢㥡㥢ㅤ㌳捡㔵㌱㝡摡ち㡡㍦搶㔴㙣㑦戹㤵搹昶愵㝢㕤㜱戲㔶摡㌲愳㔱〸戵㐵搹㜷换㉡㠳愲㘰㕥㐳攳昳ㄵ㑦㌸㜲㝡挳昶㤴㔵㍣㈱摣㘹㐱㤱㈸㑡㜲愹攷戳㈸攴晡攱挳づㄶち㙥㉤㕤ㅥ捦㌵敦㌸敤㠳㤹㐵〹昳㕤㄰慥扦㌴㘳捣㤶挵收㠶㉡挱㤸㈸搸摡㤰扤户㔲慣㝡攳ㄵ挷㜷㉢攵挶㤲搱搲愲〱㐹㔳㍡㔸㈹㠹㜴㍡㈵㠵〲〴㙥㔷㤷愲愴慥㙦捦ぢㄲㄱ㌱ㄴ㤳㤱㉦㘸㈴扢晣ㄱ慣づ慢㈸ぢ搲愴㝡攵ち㥤㜱扥㔲挶㈴㜰㘰㙣㑤搴ㅦㅣ昴摡ㄵ扡慤㘱敥愳慤慣慡㠳攱敡敦㔸ㄴ㡥扦摦㜰㑡㘵攱㈶㙡㍦㠵㌳搲晢〱戴戳㄰〸㙤㜷㡦慡㑥㌹慤㉣㘹愷慣㤲㍦㥦㤹ㄷ搶摣扣㡦㍣㘸挸㙣㤶㕢摢昲攸攷㈱㑢摦㐸㌰〸㤰换愵㌲㥢㔸㈹㤳挳㤳搲㈸㥤ㄲ㜸戹㐱㤰戳㕤〳㉦昷㥡㝢慤戲㉦〲愱摣㙦〲㈳㠱㔶㤳攸敢㈳㠹扡㐶㌱㔰ㄸ㥢捣㜱㔰愹㘱㌹晥㔲㥤㙦㕢戸㈴㈰愲㜵㔹戰收㘴〱㐵㐱愳㍣㐸攰㌵㄰㑤㤳㌴㐸慥ㅣ㈳㈲戲㐱㠲㘶㐷捦㡤㐴挶晡〹㌲〲昵攳㐴挸摡摢摢换〸ㄲ㝢㉢㤱戲㔱㕢㝥㕣㤷㘶换搹昲㠱㌴㍢ㅦㅢ愷㙦㈶搸㐲㜰〱挱㔶〰攵㙦㤰㜰㤴㜲㐸㌷㍥晡㐵㜸搷㉦㈶昸ㄸ〰攴㤳㑥㤹ㄳ㡡㉡摡㔰慢戱㈳㔹慦て㜶戲㌴㡡〳㔱㐴换戸㘶㘷昶搹ㄲ搱愱搵戹㌶㜴㙤㕡敡搸慢摢搳㘶㝣㌹愴挸㠴慡昱戵慥㔰㌵扥ㄱ慣摡愱摥扡ㄴ㑤昵㈱㠲换〰〲挵㐲㘳㜷㜵搶㍣捤挹㜳挲㈴ちっ愱づ㤵㝢㐸挴㌴晦ㄳ〴㕣换搱㘵摤㝥愶㈹㌸㙣㥥昳昶昳戶昶扣ㅤ㈲扤㐹㘷慥敢ㅣ晡㡡摥愷〵㝤㌹搸㑢昹㜳㕢晤㜲㈵㡡昵慢〸慥〶㘸搲㉦㍣㜹扦㕦㉦㠱㌴㠹敤ㄸ收㌶搲攳㈲㉤摣㤹愵〵㈱戵㑦慦㌹㘳戸㜳挲㠷昷攲挰〴散攰㡡敢㡡㌲づ戴㈵㤹挱戳换㤶挶㑣㙦慦㕢戱㤹扦㙥ㅦ㝢攷㠴㘲㐸愷搵慥㔴㤳㝤㥣㘰㘷挶晣㑤㌱捡愱晥扤戱扤㤰㠸㌵㙡㈴㉦戶㑢㍥㕢慥㑢㤲づ㈴挹戵搸㔶晤㍡〰㐸〹攵㡦㙤㈵捡㌰慢㙤㤳搵ㅡ慤㔵㝡昷ㄲ㑥㈶㑤晥挳ㄶ㌹搲ㄳ㌸㙢挷攰㍢昰晡散㘹换慥〹㡢ㅥ㝢㑡戸㐵昸ㄵ慣戲挸〵㉥㔹㡡㥡㜵㔹㜱㡥挸㡡慥慥㤶戳㜴㠲㙦㑤搲㐹㤳㤴㐸攴昶挴挲㠴㜳㜸㥤愸攸㠲愴㔰㐹㜰ぢ搵㈴㄰㈹㡦㜵搷㐵㑣〷㈲㈶㡦㡤搳㙦㈰搸㑥㌰〲愰晤づ㤲㘶戵ㅢ捦㔰㔸昷㈲摤搹㠵㐲㉡㑢㌴㐸昷攰ㅢ㙤㠵搵㑥づ戳㡢攰㈶㠰㈶昳㠷捥挷〴㐲㤴㈸㡦ㄱ㈲慤㈵摤㍣㘶㠹㔳愴㠱つ㈶㠲㑡攳㔵捦慦搸㡣㉡昵㤹ㄳ㤵㐳ㄵ㝦挲昲ㄶ㄰㠵ㅡ㌴挳挴㍤昳挲〱㜵戹戰㝤㥡昲㉡ぢぢ愲愴㥢搳㤵㉡㐴摢㠱㠹戵㜰㈸挷晡㘰㑢捡㜳戹慡攰改散㙣㡣㉥ㄴ㜹㈲㠶慦㤵㥥搸㔵㜹扥㜹攸敢慦敦攸㡣攵㤷㐵㡦ㄹ㌰ㅤ搳㔹ㄳ扢㠸愸㐱愹摢㥣㤹㜷㠵㤸攸㌳昷戹㔶愹㙣㌹㠲挸㠰㡤挹㐰摤愴㤸㐳㠴㘰慡挲昸㕦挵改㌳㘷㕣挳昱ㄶっ〶ㄳ㤷㌶㌶扣挹㤰㠸㘶㡥㔹㡥㠷㘱㈴ㄶ㤹敥㌷愷攷㉢愷㄰慤慤摡捥㍥㘳挱㕢ㄳ㔸㈱搱〷㡦㐴㡤愲㉡慡慡㘴搵㙣愷昸攱㠱㍣㤵摡㠱㕦㥡㐰攲㉡愵搱㕦㥥愰扤㘹搷㠷昱ㄹ摡改㥣㔳㉦㈲㐷戵捣慥㐴㈹㑣㑥搵㙦㘱㥢㕢〱敥摣㜷昴㐰㍤㉡昷㠱攲搵ㅡ㍤晣〹㌲㕥㤲㐵㉤〸㐲晦摣㠶㠰㔴㤸㐷捡〱〷〲攳㝣㙢㈶扦㥣㈹敢㤰晡㌶搴㤳㝢ㄱ㐵敡㌵㈷㡤㔹㔱㐶㉣摡㌶晣つ挱ぢ捤㔸摢㈸㝢㘱搹㜸挵戶つ㤲ㄶ挹㜲扡㘸㤰㠲㐷慢㝥攵愰攵攸㈶㠰愴扦㌰换㌸㡤㉣攳戴捣敡㌵㡦㌰㉣㈸搳散慢㌲㘷戸㤶㍦㙦㕢挵㉣㕦ㄸ扡㕢ㄳ㌴〹㈶愷攴㡤㥥㐸㘶っ㌵㔹昳㐷㘱戲㜹㜹愰㍢て㌹捡慤㈳晡㐱戹慡㤲挱ㅦ愵㐳挷ㄲ〴㡣昴㤲敡户愱㌷㑤摥㡣㠰挸㤱捦搹攸晥挵搹㠷㤱ㄳ昸攵㠸昵〴ㄲ㠱㐷㌰㈶攴改摥捥㤸㐷ㅤ换〷昶㠸戱扤㤶㍦攱〱攵〰㐸捡攳敤㠵ㄲ慢戱㐶挳㌵慤㜰㘹㙢㔱㠳㥡戸愴戵㍣慥㌷慥㕣愶㌸搰㈸㌱㐵戲㔲㈵愹㔹㤶㤹攳㕡㔲㌵㡡㔴摣㤱戶㔱㤲摣愶昵㝤愷ㄴ昹〰㡡㐹搲㑣㑡摦㉤〹〵㐱㕥㔲〷㜴ㄴ晤昵挹攴ㄱ㡢搶搰〶挸㔱㑦〵㜹㝤㘱㌸昰〰慥㥣㤴㐴㉥㝣〳㝦㙦〸㤳㠷慢㝥㐳㠹㜱㝡㌰㉣ㄹ㉤㤷て㍢戰ㄲ㡡㠶㕢㕡㈳㉣㡤戵〵ㅡ㐶㜲㘷愷摡㍦搸摥ㄸ㈳㠶㙣挸㤰㐸㠲ㅦㄸ㙣〸收㡡㐵㔳㘹㥤昵㜱慢㙢搹㔹扥ㅤㄴ㠶㈳㌱㌰敤㤷㈶挴愲㌴挳敡㤶晣愰㙣㔰㍢㉤㑡㌹慡㥢愳戳ㅥ㔴扡㑦㌹ㅥ愶㈴㠳敢收ㄱ扡愵㜰㠱〱㘲㌷㑣㑤ㄵ㝤㠴㜵㙢ㅤ昰㘴戰㜶戰㠳ㅤ〹挲㈶戴捥㈸㐱㌳〹㠴摢戸〸昲㑥㠷ㄸ㠵㈰㌵攵昳慦㍤捡戳捦昰昹攱㥥㔴㤴〸㤹㠸愱慥〴敢〱挸㡤㐷㈵挹㐵㠳㔱戰㍣㤰㙣㔲㘸昵㐶㜹㌴㌱晡㘸昲戹㍥㙥昰㌰㡥搵㑦戶㈹攳㡥㥢㙦㐱㥢㤶㤷㌶㤸〷㥣㘲戹㕡ㄲ㔲ㄵ㐷戲㕡㙡攴㌵㠱㉦㜹晤㉦攰愶㠴㝤〹㌷攵〰㡥㔲㕣㌲㤱搴戹摤慤㝦ㄲ捤愵㤰㐳ㅦ㠱㙣㘳昰㌱挱㉤㈷㠳㘱㉤㜷ㄴ㘸ㅦ㙥慣㕦㕥㤰ㄷ攷㈰搲㕡戲㈸换㈶㜱ㄷ慦ㄶ㐱㤶摣ㄶ慢㌶㔹㤹慣搰㘶㡦㘵敤户㠲慣㌵㠱㈳慣㌳㄰㜸㤹っ㡣㤱づ戹㠳㥤愴捥㠶㤱摤戳て换搷搴搹㍤愱昱愱㌰扥换㔳㔰ち扢ち㐶愲挱慤搶慤㙥㠵㤱㕦㕡摥晡敤〰ち㐳挰㌴㘸㔱㌳㌰㜰挶㤰㕥搹挰㘱㌰㌲㈱㍡ㅡて愴㌲㐶㌹〸㠷㍤㤰〶㙥攲㐱㝡愶〲㈵攴㙦㤲㤷挲愲㝢㠹挳㌶㡥㐰ㄵ㜷㜳㔳收㤴攱攳敡㡢戳戵㈹㝢戴㔴愲戹ぢ晦摣㥡挰㉡慥㙤〴收攸愶愶ぢ㔹㜲㑤戴敦慥㘸㉡〸㉦ち敥㤸挸敦㌷晣攲晣戴扦ㄴ㕣摡敡㤴㈴戴㥦挱ㅦ戱散攸戴㤹搳づ㉦愱㉥㜲敦㜳㈷㥣捡㈹㐷捥㑢昳㜸攳㡦㔶慣摥摤捤㐹收㔲敦攱㡦㝣搴㤴昶ㅡ㝡㕣捤戴搹㐱摤㐱挲㝥攴ㄳ㐸㠳㈱愴ㄳ攸〴戶㝢敤挶〰改㘴㔳ㄳ㥤㐸㐱戰㑥㈸捥摣㠷㐶㈸捡㑦㠱㔶ㄲ㑢㜰㈴挷㥥扦〸搶㔷㝥㠲ㅣ㈲ㅣ敦愱ㄸ搱㉥㐳㉡〱㜵㔲㤰㠷搷㍢㜸ㄹ攴晦〷㑢ㄱ㌷㉦换㑥晦〵㘶㔶㕥㙤㐶搱㈵㐴搱㉢慤㈸㘲㈰昶㝤㠵扣㌹晢昵愳收㐷㝥慤昷㝦㜸搴扣ㄳㄸ收㈳慤㌱〴搵ㄸ㡣慦ㄹ〳㕤㉤挶挰㔵㈸㤶挶挰㕤㙣挳㜸㝤㘰っ㠴摥㡥㠳挸㔸搹ㄸ㘰ㄴ㉦挱攴㡢〵㔵㘳づっ㥥戵㌶摢昴㠴敤挷昵㕡攱㈱㜲て昵攴㡤挳昷戴愵㌵㝢捡㜰つ㝢慢捣摦攷ち愸㉤㜷〶昷戵㘵ㄳ戶戸㜰搹ㄲ搹㘸ㄹ慦㐴攴㑦㕦昷㥣慣敥㤶㍡㌰ㄵ㍣㠱愳㕥挹㉡㤹て攰ㄳ㔱㜸㐲㐸㝤㜶搳㡦昶晤攵挱㐷昷昰㕥㕡㐸慢ㅡ〳挱㥤〴攷㘹㌹㈰㝣ㅢ扢ㄲ㜲㍥㍦扦㌹㠸て㤱慣㠵戲ㄸ㌳㕣㘹敦㜸扡ㅤ㈵〳挲㡢ㄱ㘶㐰㝣㙢挱㤸挴つ㠷挰㤸捣㌷㌹㌶攵攷㑢搲ㄹ㤸㡦㑤㕣㝡敦愲〰愱搲㔶㘵㜵㘸㔷㙡㍦㠶搲㜹㥦ㄳ㘹戴〷㜹扥攴愳㈸㉦㌵㙢戵㕤搴㙡搲㑣㔴㠶㔱㈳㤲㔲㠸㌴㤰㐲攲㐷ㄶ㠶晥愵㤴㥡㐲㐲换〳㈴挴搰㥡㠳戹㍣昹慦ぢ〱㔱扢摥搷攱愷㉡搸㐵㘰㌱昲扡㜷㝡㜶愵搵ㄹ愹㈶〶㘵攵改攳㙥㈴攴㌱㠵ㄹ㡣搲捡摣㈳㐸㐴㡦㌶㠲搴慡ㅤ㑦ㅣ愴捦づ㐲㙣〱㘳㙢㌶扤㙡㌹晢づ愷㡡㍢ㅥ搰㌳ㄹ愹㌰㥣㡤捣挶搱㔳㐶攳㠲慡戹㈰㡢戰㍦㐸搶ㅡ昵㠴㐵搰㔹捥㔶㥣㍦ㄱ收攳昷㐰㉣ㅦ慥㜷㝤㝥㜳〹㜵㥣搳㡤〵昲〷晢敢㤲〴挶挶愸攴ㄸ㐸搸㔵搵捡〶㤷挰愷搱㐴摡昳㡡㕥㑦㜲㉣㐵㘱㌴㍡攲慣㉥戵㐵晦㌳㑥㉤㌹㙢㠶戵ㄹ戰㙥搰晦挷㤰戱愲晥㔷ㄸ㘵㤳㈸扢㈷㑣昰㐵㘳愴㘴挵攰っ㜷〴㍥㙣㠴㘹攴ㄱ㔸㤷㐹〶户㠳搴㌴㍥㔱つ㡡愵〴㠷㠷㉢摤㝣〹愲搶㤶戶㙤㑦㕢〱挸㈸㤰昶〳㠸愰戶敤㌹改搶㜳㙣收㕥㘴㙦㍡㘸ㄵ摤㡡㔷㌱晤愱㘹㠴㜷㠷昸㠵㤹〹㥢㘷㔴㜹戱㔹愸㕤㠱㥤攸扤て㙤づㅤ㠶挰㍥㈴晣て㉢敡挸ㄸ挲敡㘲ㄶ晣摡㘸㈰ㄶ㐸愲㜶昰捥㌳敦慥ㅡ㘵㝣愰㝡ㄸ㕥㑤㥦㔹㙢㐲搹〵扥攵收扢ㄸ摣㍡摣挶扡ぢ㥥ㅦ㔱捥㈳っ㈶㤷㜰摦晤摣搷收㍤㘸慣ㅢ慥捤㘳捤捥扣㙢㌹敤晢挰改敡㐶㘹㈴ㄹ㡥挹敦㡥㜳晡晤㠴㠸昳搰㍢扡㝡㔷㉣㝢ㅢ〴㥤㠷㥦㙤搳攵㌵㕣㠶愳㙣ㄵ㜱敥捦愰愹㜲㍢〱㝥㝡㈱㑣昰㐵愱㍦敦㌶㈶㥥挷戲挸〰㐸愷㌲〶㐰㝢慡晥敥㜲㔴慤昰㘸㐱㉡捣㈹摦㐱㌹㜷㈹㔸㙤㠹㜹㌸㙡挸㈳〴搲扡〰㠸ㅥ㠵㐷〸㌹晥戳㘸㔰ㅢ㝦づ戹敤挷晦搶戲攳㔳昹换昵挵晢ㅦ㠸㤴㠷㝥ㅣ挵晡〹㠲㌲㠱つ㌰㄰改㤰㝥㡡㐵捡㥡㑣㄰㐴㜸㜵て搲㜸㝥ㅦ晥晢搶㥥㌷㕥攷昳捦㍤㡡ㄴ㠴㈸㙡㕣〵〵愱㕣挵㔳昱㔵㉣㈰户晤㉡㥥㕣㙥ㄵ〳㤴㤱㥣㠹敥〲昴㜵㈹愴ㄵ戹㉡て〹㙥㈸㝦㡡㐴㈸ㄲつ戳ㄸ㈰㘲㘵摢㉡ㄲ㘸换㥤㤷㙤ㄷ㤱㠸摡づ㐴摢愳㜱㐷ㄲ扥攵㤱㠶ㄲ敦㍥搲㝤㤳〹晣慦㤹㐰㍤㘶敤搰昱扡㈶㠴〴搶挶㡦㘳摢捡昶㑣㠷㐱㝤攵㠹〸㐳晢昷㐷ㅦ㑡愹㘱㤸〹ㄴㄲ㤸愶愴㈸㙥愴昲攵愸昲㑢㉦搷扤愴㈸挰〳㌲ち㉡㤳昲㘴攵挷愳捡㍢昰ㄱ㤶慣㤳攲愵〱㍥㙦㐵㤵㐹愱戲昲㘳㔱攵㝦散搸㕡慢ㅣㄱ㘴搰戳㐶㙡㐹㌰㝡攵㌱㈰昶㐱㌶㑦搷㥡㐹㐵摡㘳〶搹ㄴ愱㌲㕡㕣㤶慡戴ㄷ昷㍦㕣㝣ㄲ㍤㠹敢㑣戸昵〱㘹ㅢ晣捦〸〷㜰捤㘹挲昰つ㝣昱扣㠸昸戲慢换㌷㌶捥㤸㠷㕤㘴㜴㥢〷㍣ㅣ慥㑡㙢㡡㐴㘰ㄷ愴㠳晤㕤挱て㥦㘰㐳搶昷㈳㡡㡢愹扣㌶搲㤹ㄶ㤱戱㤴戴昲㘸㠴搹搴㤹㍡捤攸㥦〳㜲㈰㉦〱㤹搰㍦てㄸ挴㕥㌶㌱㘳㠰㠲㐰㜲昹ㄹ㈴昴㐷〸扥〰㤰㔳挸昵愴㠳捣ㄷ〱晡愳晦㤷㘲㘸㔱㍡㑥㔴攵愱㘸戰㌸ㄹ改㕦㘲㠳挷〰扡攰戱㔵㐲㈲捣改㡦㈳㈷㍥㈸㈵㠸ㅣ昴〹ㄶ㝣㠵攰慢〰㌹㡤㤳㕤昵慥㜱㑤ㅤ慡戰慦愱愹挲慤㤰〲敤敢㘱㠲㉦摡ㄹ㠰摢摡ㅢ捤㍣ㄳ㐷摦昱㈳扡搹昰挱晥ㅤ昸〰㝦㠹㡢敥挲晦㍦愲㐹ぢ㍦慤㝥扣戳扥挸〴ㅡ攷挳㥦㡢捤晥〰晤㜰㕤㜵㘳㤳㍤㝥〲扦慣㥡㔱ㅥ挱扦㘷昰㔳㑥㘲〴㡥㐲㤵㥢㠵扦㠵㌴㈰ぢㄶ挲〲敡㉥晤㈹〰㠵㌸㈶㥥昴愷昹㐶搴戲㝦晤ㅢ㘱㠲㉦ち昱㝡㠶㠹㜲搸㍣ㅡ㤰戸㤶〵㈷㥡〶㈴晥㘵挱昱昸㠰摦㐴慥㈲㤱㠵㐴愳㝡㈲搲搲捣㝤〶愰慦慢㥦㜳愳扡㔳㑦㉢挵〷㑡て㍣昰㑥㝦㝡攸挲昴愷㙥敦㝤收慤摦扥晤昴㥢㥦摥晤昷㜷㥦㝢敥捤扦㍥晤晡扢慦捤敥晥昵ぢ㉦晣昲捥敦扤晥昶㐶昳㜹昵攵㜷㈶㥦㝦㘸攴挴㐳㈷捤愳搷敦㝢攸摥攳㜷㡦㑣㥤㌷摣搵搵摤㝤捤攰㙦㉥戸㜶攰捣挹㔷㤴㕦晣㘹㡢愳挸攵㜲㐰〱㄰㍤〳㕣戶㥣挶户㤱挰㌴㌸攳㡦㜴ㅡ㕣敥ㄹ晣㤴㔲戸㔱㘳㜸挹挲戹挱〹挸㠲㘲㘳㐱捦㝦〰ㅤ㤳戰扤</t>
  </si>
  <si>
    <t>CB_Block_7.0.0.0:1</t>
  </si>
  <si>
    <t>㜸〱捤㕡㕢㙣ㅣ搵ㄹ摥戳摥㔹敦慣搷昶㤲㠴㕢ち㘴挳㐵㔰㥣㕡㌱㄰敥㈱戱搷㜱攲挴㠹㥤搸㐹愰㠵㉥攳摤㌳昱㈴㜳㜱㘶㘶ㅤㅢ〵㠵㍥昴㠱㤶戶ㄲ㐵㐸㔴㔰㘸㄰慤ち㤵慡㔲愹〵昵㈲㔵敡㑤㙤晡㔰捡㑢㜹慡㔰㕢㈴㡡㉡攸ㄳて㐸昴晢捥捣慥㜷搷㙢㈷㤸㈰昹㐴昹昷㕣晥昹攷㥣晦㝥晥㜱㐲㈴ㄲ㠹㡦搱昸换㤶㘲攷慡挹㠵㈰㤴㑥㝦搱戳㙤㔹づ㉤捦つ晡〷㝤摦㔸ㄸ戳㠲戰〳〸改㤲㠵昵㐰㉢〵搶㈳㌲㔳㥡㤳㝥〰㈴㉤㤱挸㘴昴㈴搶㙢晦昳戵㡥捥愷昴ㄴ㐰づ㔸㠹愹攲搰昸昴㜱㤰㥥っ㍤㕦㙥㈹ㅣ㠹〸㙣ㅦㄸ攸ㅦ攸扦敤㡥㠱摢晢户㙥㈹ㄴ慢㜶㔸昵攵㜶㔷㔶㐳摦戰户ㄴ㈶慡搳戶㔵摥㈷ㄷ愶扣ㄳ搲摤㉥愷户摥㍡㙤摣㜶攷挰㙤摢戶㤹㜷摤㜵㘷㉥つ捡〷㡡㐳ㄳ扥㌴㠳㡢㐵戳㤳㌴挷㡢㐳晤〷㘴㜸戱㘸㘶㐰ㄳ㈴㠷㍤挷戰摣㡢㐴㔴㈳㠳㙦ㅤ㤶㘵㡢㤲㤰搲户摣㘳晤搸㜶ㄳ愳㌱扡愳㝦〴ㅣ㉦ㅢ㐱㔸㤴戶㝤㐸㥡㍣㘰捥㈱捦愴㉦摤戲っ㝡㥣㕤昳㘵㘹挷换㐱挶㌹㘲昸〷っ㐷愶搸改㜵㈲戹㡤㔶愴ㅢ㕡攱㐲户㜳㌸㤰㠷っ昷㤸㈴㡡收散慥㕡㤵㔴㑡愴㔲㠹㡥ㅢ摢㙤㐶挹愶㝦挴㉦ㄷ㘷っ㍦㔴㈳㑡㙤愰ㅤ㙥㠳㠶愸㡤㌷㙤㡢㕡㔴㘸㜹㡡㘲㥡戴㥣㝤搲㜷愵捤㤷昰㙣㝤㉤㐸㡡㈷ㄱ敢敢捣愹㥤㠶㠲ㄱ㕤戱昲昳㈸㝣㡢慥ㄳ㘴〱搲㕤〰㥢昷ㅢ昳㤶㔳㜵ち㙥搵㤹㤶㝥挱㜲ぢ㈷慢戲㉡晢ぢ㘰㥡㕤㈸づ摣慥攷昸㐰㌷㠰㐸晤て愶搵㐸㤰ㄴ㤲㈵㈳㔹㥡㑥㤶捡挹㔲㈵㔹㤲挹㤲㤹㉣ㅤ㑢㤶㘶㤲㈵㉢㔹㍡㥥㉣㥤〰㑥慤㘵㍡㍢㤳㜱㝢改㠳晢㥥㜸晣㥤捤㐳㕦㜹㘳换扢晦晥戰晣㍢㐱㙢㔲㘶搵㡢㡥㥥〷㐸㕦〲㔰㤸昲㐲挳㉥㤴慢㐱攸㌹戰慢㐲㈰晤㌹㔹愹敦㙦㥢扥㡥昸敢〱㠴㜸て晢攳ㅥ摦摤戴敦挵〳捥搹搱愷㝦摤㥤㝤㙢昴昶愱摣愵㔸㍥ㄸ㜳㘲搸㌷㑥㐱㥤ㄶ㌵昵㤶晥慤晣㜷㝥ㄳ㠵㠵㥡摢捣㍢捣㠱㠱捡戶慤挶慤㠶㐶㕥㕥愸㘲㙣〰㙥捥㍣㙡戹ㄵ敦㤴搲㤴㥣㌹㘲搹愱昴搵愰搷挴㑦愴敤㙡摣㙤敥㥡㠷㥢㈸㐷㑡戵挱㉣㑡㍦㠴㜹㠵ぢ㡢㥡㜶搵㤰ㄱ挸挵㘱㕦㑣㝢挸慢扡㤵攰㜳敤ㄷ㈷㐳㈳㤴ㅢ㕢搷ㄶ㠹㉣㜹㙣ㄲ愶㈷〳戵愵㙢㕡ㅦ㍢㘲搸㔵㌹㌸㙦㐵换㔷户㉣挳〸扤改攵㔷㐷㝣㜹戲扥扡㘴㐷㠳㜰搳㜳㡡昶㤲㔳㐶㑢搱扥ち挵ㄹ㉦㤰慥摡㕥㥦㌳㘱㤵㑦㐸㝦㔲搲挹换㡡㍡敡愵㕣㡡㍤㐱摦戸㡢㠳挲戶㉢搷㌶捥㤲搱搲慤挸ち昶㍢ぢ㉥㉦㑣ㄹ搳戶扣慣〹㈵㝡㈷ㄶ慥㙣㥡ㅥ昱愰㤶㐵捦つ㝤捦㙥㕥ㄹ慣捣ㄹ昰㍥㤵晤㕥㐵愶㔴㑢㐴㔰㈴㍡㍡㠴㐸摣搴捥㡣㐹㍢愰愱㌷㈸〹摤挹捡挸つ㑡㐴攴戶づ愲㑥ㄹ㥤〶㈵㈳晥攷㔷摣㐹愳ㄲㄲ㝢敢㡡搸㙤㤴㤴て㕤搱㙣㜸晤㠷㈰ㅦ挸挱㤶戴捡攴昵换㤳㕣搴换昳散戴㐱㉡㡣改挴㕥㠱㘹㡡㙣㕤昷㍥㕢攴㘴㜲㝤㝣晡㕤㜳㠸㌱㝢っ户㘲㑢㝦挵㡣㐴㜰㐷晡㘵〴㤷ㄳ㕣㐱㜰㈵挱㐶〰敤㕦昰㙦换㜲㤴㑥㔴捣㡢〵敤㤴㔵〹㘷搲㌳搲㍡㌶ㄳ㘲づ㤹㑣㈶㐳㜶㉦㘹晡㔵㤸搲慦㈶戸〶㈰㥢㑤愴㌷ㄱ㈹㥤搵ぢ搱㔸㘳戰昸攴㈱㡤戹㤲慥㈲㈸㔲㥣㐰㜳㄰愸㠳㡥㡥㜶㈷摦㘳〴㌳㈱㡤㙥挵㐵ㄵ扣㌶㤳攸戵〰戹敢〰づ散㤱㌶㑣昶㘲㘵㐷ㅡ㈳摤㜹愳㌰挳捤㘵捥攴㠲㕢㥥昱㍤ㄷ〹攳戰ㄱㅡ㠳㘵愴ㅡ㠱㌰搲捥㤸㔷慣㠶㘹㘷㡦㠵㥦㥣㜳㐸捥㑡㈳㉣挲㈵㠷摤捥ㄸ搲ㄴ攵㌳㐷㉢昳㥡ㄳ㘵ㄸ挳㌲㈸敢㑣㐵㐶攱㠲收搳攸挱愷收ㅣ㍡ㄵ㌹ㅦ㤲㜴愷㌳㘱㈰㤵〹㜵㈰昵愹愷愲ㅥ㥦散㔶㜳戵愷戳昱〸ㄴ昲慡摢㐰愵㑢㑤㐴㤴ㄲ搴ㄲ㐴㑢挴摢㔴っ㕢慤攵㜰㘸搹㐱㝦捣摥晥㘱て愹慡㔴㈹㌳搹㥥㑥㐳㤹搲㉢ち慢搵愸㤹换㡣㤷愷㈳戲搸捡㙥摦慢捥㌲㥦戹㔸㜴㐸㉢愱㕦て昰晣〷㉦摦㜳挳㜳㍦晥㌸晥㍤〳㜳㔱㑤㘷戲愲㔳户㌹挴㡦㙡晡㡤昸挹慥戴愶㌱昵㘹敢㔵㤷㐹扢愸愸㌹〷愷㥤昲愵捡㈳㌳㙡戰㌰㉢扢㥤愳㥥㝦㘲摡昳㑥㔰昸㍤㙡ㄴ捣㐸ㄹ㌲㌹敢㡡㜳㔱昶㠵㄰ㅤㅤ㑤㠹㔶㐳ㄶ挷戴㉥摤〷搰㍤㠸っ慤㐶㌱㐸㙦挱㔴〷愲㐷晡ぢ攸攴て㌲㡢㉢㌹㠸㍦㜶晦扣ㅤ捣㡢㌷㜰㙡收㐶昷晤㝥敡攵ㅤ㔷扥㍡昶慤敦㌹㠵户晥昶捥摤攲慦昱挲㤲㡣㑣㈵㘲愰愵㙦㈵ㄸ㈰戸㠵攰㔶㠲摢〰挴㥦昱㈸晤ㄱ晡捤㑤扦ㅤ㘳晤づ㠲㍢〱攰㔵ㄴ攷攱㔴敥㡥㠶㠲〹ㅥㅤ㡢㝥て挱扤〰㠲㤶㐵ㄳ㑣攸摢〱㤶㤵㈳戳挲愵㜲摣㠹搹慣扥挲㥡㘰㡡㐸㔹敡攴㥤㑥㙥改攴㤴㜸㍤㍥晦ㄲ挶扣ㄶ㉦戴㘶㤳ㅡ㝤㜳慢挵愸㐴扣ㅥ㘷ㅢ㈲㜸て㤰搳收㘱搷ち㠳㉥㜳戰ㅡ㝡㈳㔶㌸ㅣ㠴㌹ㄳ〰㕤昵挸㐶ㄵ㤲ㅡㅥ敡㌳㡦㔸昲搴ㄴ㜴㘶搳搲㈵摣㔱㡡㉡ㅤ愶ㄶ㕤戳㜴㝤搸㍢攰㠵挳㔶㌰㙢ㅢぢ搷户㔹㡥㔶㡥捥㐸ㄷ㌹㤲㡦㔴改㝣㐸摥散慣慣戴搹攳愴㔷昵换㜲㜴㜸㉤㘴㔹㈲昲㙡〹ㄸづ㝣㥡戸㘱昹慣愲㠱敦㡣戴㐹ㄸ㥢㔸㘵㤰㔶㤱㔲摦ぢ㉡ㅤ㜸㈷搴㕣摦㠷㍥戴㕤㘳攴㕥㔹㐵ㅡ昲㌶㝡愶慣〹戱㐶㜳摤昱挵㘰搴つ慣㡡捣挶愳晤㤶摢ㄳ㜷挷慢㘱搳㡡㌱扦㍥㕥㠱㐷ㄸ㜷㈱晡戲攱㔷搶㠲㔴㜰㌰戴㐸㈴㈲㡤㝦慢㘳㌴㜸慢摡晢㌵㑦昳晥ㄹㄸ晢ㄸ收挸㙢㈶㐸㙤ㅤ㜴摤ㅣ搱㘹㐸㝢改搷扡挹敥晡㜴㠶愳晤搲㜰㤵ㄴ㈶挳捡戰㥣敢㔱ㄸㄲち㡥搲㠰㉤搷㌷て㔵㥣搶捤挱改挰戳慢愱散愹昷㤴愱敢收㈱㘹ㅢ扣挲攴敡扤㠹㜲㠸㑢㕥㥤ㅥ慦㈷㙢㐷㐲攰㐸㉡㤶㤲㔰㜲㑡慦愰扣捤㠷愰つ慤㕥慡愶㙡晦摤㈱扥昳っ摢て㜷㈴㙡㥤㉣㕢㐲㘳攲㝢攱㜷ㄴ㕡搲晡摡搵㌹昲㜰捡㜹攵㙡㜳扣ㅥ㜴㥢捡敦愱〶挰慡㔰㉦㑤挷㐶挹㉥戴捡㠶㙤㉦昴㤸愳㙥搹慥㔶攴㤸㌱㉤敤㥡捦昶㝣㘷㡤挸㑢㤵㌴㈳㔹慤挰㤷昸攲㌶㡡扡㘶敤㐶戴㙡㌷㤷搰昷㠳慤㉡攴㠲㐶㈴ㄶ㕥㐵㍥昱㘵㤰昱㝥摤㘲㈹㐳ㄵ摡攰搶㤶㑣搱㥦㌱㔹慥摦㈷㤵戵㌵愰㡤㜹㘳ㅥ敥晡㤵㠶愹㍤㔶㌴戵㘶㙣㑡㠹㈸㥤㑥慦㌶戸㠰㔷㘸㌵㡦〷㠷ㄷ㡤㜷搰攷搱㌰㜸㙦㙢㑤戳ㅢ㤲㄰ㄵ昷㤵〳㘴愶搵㑢敦ㄵ㈵つ㔳㔶㘸换㉥㔳慤慢㝥㠶收㐰㙥㜶㥡㔳㌳㐸㔹㠷扢捤摤扥㔵戱㉤㔷㌲〱㐱敤㠹挵捤㌱㜹っ㔵㤲〹㉦戰㔸㐰敦㌶愷㝣挳つ㘶㜹㌳㈹㉦慣㙢ㅡ㈹㘱㘹收㤰攵挲㜸愲㜷戲摦㙢㑥捥㜸愷㔰㠳慦㍡敥㙥㘳㌶㔸ㄳ㠲㡡攳ち㌸ㄴ㔹㔴㔲㈴㤳㈲㤳捣慣㌶㑥㐱挳㐱㤲㔹㜲㤲㈰ㄶㄵ㙦搷㉢搸㉡愵ㄴ搷愸㘸慢摣㔳㔳〹扢敤愵戹晥〱㐳㔵ぢ挶昹捣〴挰摥摤㠷㐷ㄷ㉢㥢㥦敡〳㠴挶㝡挰ち㘱㐰愹㐵扤㡣挲攲㐲㑦愴㉡㥣愳收攸㑡攲ㅣ戵慡㕦搶㔴㌸搴㐴㐴㑥愲戳㍢㠲㑢㙦づ㠶て户㡢㘲〱晣㙤㑦㌴㘰㉡攷ㄸ㜶㄰慦ㄵ㍤挷㌱愸㕡㔴换㐹昸㙣㤹㔱㜹㌵㍣㠹㙥〲㈸晤㡢愷㡣㜹㑣ㄹ昳㙡ち愱㤸愵㔱搵㈷㉤敦㤸攱㕢攱㡣㘳㤵㌳ㅣ戰㝣戹㈶㜴ㄲ㉡愴㉥攸㘰㈸㥢㔲㑣㈴愹慤㠵㠹攸㉥つ㜱昷攳摥㐰搶㔱晣搰摣愴㡡摦㘲㤵㜵㈷愸慦㜲昴晡㈱㔰ㄳ慣攱挰攵〳愲扤㕦晢慡愶㝣㤱㜲㐲愲㠰㜹㉥敢㤳〰戵㤶摡㡣摥㡡攵〱摥搶戳㘳㥥㔱ㄹ㐱㠵摢昳㍢攳て㘶ㄹ㠸㤶㉥挵捦戳㈴㔴挴摤ㄵ㌵搹㌹攴挰㝥㠶ㄳ㤳㈸戶愴㔸㑣㑡㐷㌲㈴㙦ㄲ㥡搶㤵㘹昷慥搱ㅡ慤敢攳慢㜳攳搷扦搱㈵昴摦㍢㜸㈷㍣㉢つ㤶㈹㠴㍥㐵㜰ㄸ㐰戰搸挴昳戴㈰ㅣ㈱挲㔱〰㡤㌵㠷㔶㉢㔹戶㝣挲てㅣ㥡挳戲㑥挶攱㜱㤰㙡愴㔱散㐱㜹〸㉣㐹㜷㘵㔸㕥搱敦〷昸换戹㜳扣〴㈷〴敢ㄳ戵昷昳收ㅦ㙦昰〱㜴昵㉦ㄲ㘱㉢㠰㉡ㄶ㙥㐲㈷愱㍦〸㔰扢㡣㍣㠴㍥㐲㠵攰搵㥤ㄷ㤲昶㘹昴㤷㘳㉣㍡㉣愶搲挴慡愷㘵㔱㈷戱戳㈵㉤ㄳ慣〱㌰㌵㑢攸㈵〲扥扢㤶ㅢ〸㤶〶㤸ㅦ㐴㙤搹〸㈶㔸㈳㘰ㄴ㘳ㅤ〰敦㙣昱㥡㠲搵〳㝡㑥摤〰㄰㉣㈳搰㈱〱㌳㔲搰㌲晢攷㔵㔰㤶ㅢ㐰扢㔹㐱〵㙢づ㥢昱扦㐵愸㤲㠸㈶㠰㘰㍤愲つ挲㌱㈲捣㄰㠱挲愱攴㜵ぢ愰㉥慣㥤ㄸ搴ㅥ㘳戲ㄳぢ敢㌸扡晡〹〰㙤㉦挰㠵㕤㑤㘹㈲昹㠶㝡〱ㅤ㙡㜰㠹㜹戰㙡搸昸㔰㌹㡥愴㌵攴搴㕡昰㔸愹攸敡搰晡㈱慣昹晢㈵㙥摤敡〸㕦㝡㠸㈷㙢攵㐱㌳㙥㝣戶㠰㤸慢扢㕡㘴戵愷㔰扣戹戰户㔰㍤㍡攷㔸㜷㉤㤵ㄲㄹ扥㤳㔶㥡搵ㅤ㐲㔸捦㍥晣ㄲ㐷㜷攳づ〷㠲㤷㑦㌵摢攸昹㌴㈶捡㉢㐴晡㤶慣㥣捦慦㕦昴㑢㡣㐰㝤㌶晦㈶愱㥤㐳㙢づ昸戳㝣㍤愳扥摡挳挹戸愳摣ぢ㍤昷㜹㠳〵㈳っ㉡ぢ〸ㅢ㤳攱㠲㡤㔰捤㉥敢㐹㔱㡦扥㈹㕡挶昶㍣ㅦ㜷㡥㔴敢㌷㠷晡戳㡣晣㕤ㅢ㕡扥昱愸挷戸挲愸愴㝤ㄳ挲㔸昶㜹㥥㘰㤱晦㝣㠶㉤ㅤ〰㙣搸㙦㤵㝤㉦昰捣戰㌰㠹㜴戳挰慦㝥戰捦慤㠳摡ㄳ愰搸昶㥤㍣㔸捡攵搷㝢㈵搲散〹搷㍢攵慡摤㘸〱㍦㝥㉡㝥㜵㜶昲㌵戴㔰搵慥〳ㄷ昳㌵㌹收改晢搹昲㠷愳摦㐴㥥捥㥥㉤㑦㠷捦搶㑢ㄷ捤挷㤹㝣㕤搴㤶愷㘳愷ㄸ搳㔵㠰㕣㜱愸愴㘲摤㈱㝣ㄹ㑣捦㘱愶〷㌳つ昹㘲晡ㄴ收㉥挱㕣昳摦㌱攴ㄹㄹ㐸㐵㝤攸㡦㍥昹㍦㠲愱㘰㜴愰て捡㡡慦㠲㠱戴㤱㐸搷㑦㜳づ扡捥㠸愱㌸昴㘸摣攱㐰㌰㐲愸搹ㅡ㡦㌰㑥〸㍡㝥㜵㌱㍣挳㤱㐱㠰晦晡㘳㜱㠷㠴㐵ㄹ㐰㘵ㄲ㘷昰㉡㙡〱挶〹㥤愲愵ㄴ挵愳㤸愱㈴㥢㈵㐱㌷捣㤶愷㉢㘶换ㅦ㡢㝥ㄳ㜹晡㕥戶㕥扡摤捦㐶〰挷㐱㔹戱㡥〲搰挹㜳㥤㑣捥搳㝦慢昹㍣愷㔴㙤晣㜱昴〴摤㠴㍡昸搷㘲〴㈲攵改㉢愸㡡晡搷〱扡㍢㠴戲㔷㡥ㅢ㔹㤸愷摤㉡慣㙦㐴㔸㤴㔱㌷戱晡〸ㄶ㑢搴ㅥ㜸搴戶㜶敦挶ぢ㑢㙡昷ㄴ愸摡搵户搱攱㡥搴慥㈸㔵昵扥愷搰挱慥㤴攴搰㙤摥搵㘳㌵慣愷㈳㉣ㅥ戳摤慥捣攵㜶㈵攳㠵搶挲㜹㥥㉣㔲敦㝦ㄶㅤ晤㌹㠲敦〲㘴㌵㜲改㥥攵㑢戶つㅡ摦〷ㅦ摡昴戹㝥ㄷ㍥扦㉦㌰て攸㐰㙡愸㈹㙢㐹㈵敦㕥ㅤ㉤㐶㈸㥡㌴晦㙢〶㑥昱㈹攸㤰晢㡢㙥㡤ㄴ昹㜱㈲㤳散搰㈸散㥢㤷摦㘰㜴慦㔹晣扢ぢ慡㥡㘶搲㌷㜷㤹搱㥦㍤㜰㥢慡㉣㙣㉢挷㤶挳ㄵ挷挷㕦㍥㡣攱挶㡥㡢つ晥㘶㈸昶〶戸挹㌳搵慣㈵搱扡ㅡ愹㌳㥡攳㍥戲敡㑥㜳㌴㐰㕤愰㤲挱㈷挶㄰㝦㠹攲慥㠵㙣〲愱㈶㐵㜱㐲愰慣攴㈷摢㝡㜹扡敦搶愴扢愱昸戱挸㡦㕡昱㉢挹㥢搱敡㜲〹㤵㙥㈶㐵〹敡愰㝣搵㝦㙥戹㔲戹㌱摣戶ㄲ晡㔹㙣㈴慢搲㔰㤸㕢㔶㝦ㄱ挳㈸㍤摤㠴㕥㈲㑦敢㔳ち晦ㄲㄷ扥㑦昰〳㠰慣愰〱㔲改挵晤㈰㑢㑤㡢㤵㐳搰收愸㈰昱㕢㡦戴㝤敢㉢㐰㘸㜸敢㡦㙡昸敡愱㠴愰㜵㈹攲㠷㘲攲昷㘲㈲㤳㑣ぢ㕡㥣㕡㌸ㄸ㉦㙣㔷ぢ㐲搰ち搵挲㐴扣戰〳ㄳ晡㑦〰㌴㥥昰㠲㔹㑤愵㕦㘵㐶昳㉡ㅥㄵ攴㥦㜲㕢㍦㡤㍢ㅣ〸㌲㑦敤㙥慣攵㍣㘴愸㕡搸搷㜲ㅥ㌲㔹㉤散㙤㍣捦捦㐹散ㄵ〰㥥㐹㝦㡤㈳戲㑥扤昰昵戸挳㐱㉦て捥㔸㥦㥣ㄷ攵㠷㉢て㍦晣㘱㙦慡戰㌱㜵晦捥摣㌳晦昸搳摢㑦扥昹攰昶㜷㍥㝡昶搹㌷晦昹攴戹㡦㝥㌹扤晤て㘷捦晥㜶敦昳攷摥㕥㘷扥㤰晣搹㠷㘳㉦㥣ㅥ㌸㜱晡愴㜹昸收摤愷ㅦ㌸㝥㜰㘰攲㤲扥㡥㡥捥捥ㅢ搷晦昱㡡㥢昲㡦㥤㝣㑤晣收敦㤷扢㐲ㅤㄶ㉦㘸㜶扣㍣戴搲㤶㕦愰搳摤搱换晤㝥愶摢㔰㉣㔸戲つ戲㐲㙤攳㔷㙡ㅢ㠲扢㔱捣ㅣ㡡㤹㌹㠴㠹っ㍥㜸㜱㕤㉤っ㌶㉦㜴晤ㅦ㈷戵㤶づ</t>
  </si>
  <si>
    <r>
      <t xml:space="preserve">Attention Crystal Ball 5.5 users: </t>
    </r>
    <r>
      <rPr>
        <sz val="10"/>
        <rFont val="Arial"/>
        <family val="2"/>
      </rPr>
      <t xml:space="preserve">To properly run the model, make sure the set-up is correct: </t>
    </r>
    <r>
      <rPr>
        <b/>
        <sz val="10"/>
        <rFont val="Arial"/>
        <family val="2"/>
        <charset val="204"/>
      </rPr>
      <t>First</t>
    </r>
    <r>
      <rPr>
        <sz val="10"/>
        <rFont val="Arial"/>
        <family val="2"/>
      </rPr>
      <t xml:space="preserve">, enable macros: </t>
    </r>
    <r>
      <rPr>
        <u/>
        <sz val="10"/>
        <rFont val="Arial"/>
        <family val="2"/>
        <charset val="204"/>
      </rPr>
      <t>Tools</t>
    </r>
    <r>
      <rPr>
        <sz val="10"/>
        <rFont val="Arial"/>
        <family val="2"/>
      </rPr>
      <t xml:space="preserve"> --&gt; </t>
    </r>
    <r>
      <rPr>
        <u/>
        <sz val="10"/>
        <rFont val="Arial"/>
        <family val="2"/>
        <charset val="204"/>
      </rPr>
      <t>Macro</t>
    </r>
    <r>
      <rPr>
        <sz val="10"/>
        <rFont val="Arial"/>
        <family val="2"/>
        <charset val="204"/>
      </rPr>
      <t xml:space="preserve"> --&gt; </t>
    </r>
    <r>
      <rPr>
        <u/>
        <sz val="10"/>
        <rFont val="Arial"/>
        <family val="2"/>
        <charset val="204"/>
      </rPr>
      <t>Security</t>
    </r>
    <r>
      <rPr>
        <sz val="10"/>
        <rFont val="Arial"/>
        <family val="2"/>
      </rPr>
      <t xml:space="preserve"> --&gt; </t>
    </r>
    <r>
      <rPr>
        <u/>
        <sz val="10"/>
        <rFont val="Arial"/>
        <family val="2"/>
        <charset val="204"/>
      </rPr>
      <t>Medium</t>
    </r>
    <r>
      <rPr>
        <sz val="10"/>
        <rFont val="Arial"/>
        <family val="2"/>
      </rPr>
      <t xml:space="preserve">. </t>
    </r>
    <r>
      <rPr>
        <b/>
        <sz val="10"/>
        <rFont val="Arial"/>
        <family val="2"/>
        <charset val="204"/>
      </rPr>
      <t>Then</t>
    </r>
    <r>
      <rPr>
        <sz val="10"/>
        <rFont val="Arial"/>
        <family val="2"/>
      </rPr>
      <t xml:space="preserve"> in the Run Preferences choose </t>
    </r>
    <r>
      <rPr>
        <u/>
        <sz val="10"/>
        <rFont val="Arial"/>
        <family val="2"/>
        <charset val="204"/>
      </rPr>
      <t>Macros</t>
    </r>
    <r>
      <rPr>
        <sz val="10"/>
        <rFont val="Arial"/>
        <family val="2"/>
      </rPr>
      <t xml:space="preserve">, and type macro name </t>
    </r>
    <r>
      <rPr>
        <b/>
        <sz val="10"/>
        <rFont val="Arial"/>
        <family val="2"/>
        <charset val="204"/>
      </rPr>
      <t>'Queue_model.xlsm'!Model.Main_Program</t>
    </r>
    <r>
      <rPr>
        <sz val="10"/>
        <rFont val="Arial"/>
        <family val="2"/>
        <charset val="204"/>
      </rPr>
      <t xml:space="preserve"> in the field underneath the phrase "After Recalculations"</t>
    </r>
    <r>
      <rPr>
        <b/>
        <sz val="10"/>
        <rFont val="Arial"/>
        <family val="2"/>
        <charset val="204"/>
      </rPr>
      <t xml:space="preserve">. </t>
    </r>
    <r>
      <rPr>
        <sz val="10"/>
        <rFont val="Arial"/>
        <family val="2"/>
        <charset val="204"/>
      </rPr>
      <t>Click OK and run a simulation.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</si>
</sst>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 #,##0.00_-;_-* &quot;-&quot;??_-;_-@_-"/>
    <numFmt numFmtId="165" formatCode="0.000"/>
  </numFmts>
  <fonts count="17" x14ac:knownFonts="1">
    <font>
      <sz val="10"/>
      <name val="Arial"/>
    </font>
    <font>
      <b/>
      <i/>
      <sz val="10"/>
      <name val="Arial"/>
      <family val="2"/>
    </font>
    <font>
      <sz val="10"/>
      <name val="Arial"/>
      <family val="2"/>
    </font>
    <font>
      <b/>
      <i/>
      <sz val="10"/>
      <color indexed="10"/>
      <name val="Arial"/>
      <family val="2"/>
    </font>
    <font>
      <sz val="10"/>
      <color indexed="10"/>
      <name val="Arial"/>
      <family val="2"/>
    </font>
    <font>
      <sz val="10"/>
      <color indexed="12"/>
      <name val="Arial"/>
      <family val="2"/>
    </font>
    <font>
      <b/>
      <i/>
      <sz val="10"/>
      <color indexed="12"/>
      <name val="Arial"/>
      <family val="2"/>
    </font>
    <font>
      <b/>
      <sz val="10"/>
      <color indexed="10"/>
      <name val="Arial"/>
      <family val="2"/>
    </font>
    <font>
      <b/>
      <sz val="12"/>
      <name val="Arial"/>
      <family val="2"/>
    </font>
    <font>
      <sz val="16"/>
      <name val="Arial"/>
      <family val="2"/>
    </font>
    <font>
      <b/>
      <sz val="10"/>
      <name val="Arial"/>
      <family val="2"/>
      <charset val="204"/>
    </font>
    <font>
      <u/>
      <sz val="10"/>
      <name val="Arial"/>
      <family val="2"/>
      <charset val="204"/>
    </font>
    <font>
      <sz val="10"/>
      <name val="Arial"/>
      <family val="2"/>
      <charset val="204"/>
    </font>
    <font>
      <i/>
      <sz val="10"/>
      <color indexed="10"/>
      <name val="Arial"/>
      <family val="2"/>
    </font>
    <font>
      <b/>
      <sz val="10"/>
      <color indexed="10"/>
      <name val="Arial"/>
      <family val="2"/>
      <charset val="204"/>
    </font>
    <font>
      <sz val="10"/>
      <color rgb="FF000000"/>
      <name val="Arial"/>
      <family val="2"/>
    </font>
    <font>
      <b/>
      <sz val="10"/>
      <name val="Arial"/>
      <family val="2"/>
    </font>
  </fonts>
  <fills count="5">
    <fill>
      <patternFill patternType="none"/>
    </fill>
    <fill>
      <patternFill patternType="gray125"/>
    </fill>
    <fill>
      <patternFill patternType="solid">
        <fgColor indexed="22"/>
        <bgColor indexed="64"/>
      </patternFill>
    </fill>
    <fill>
      <patternFill patternType="solid">
        <fgColor indexed="15"/>
        <bgColor indexed="9"/>
      </patternFill>
    </fill>
    <fill>
      <patternFill patternType="solid">
        <fgColor indexed="13"/>
        <bgColor indexed="64"/>
      </patternFill>
    </fill>
  </fills>
  <borders count="15">
    <border>
      <left/>
      <right/>
      <top/>
      <bottom/>
      <diagonal/>
    </border>
    <border>
      <left/>
      <right/>
      <top style="thin">
        <color indexed="22"/>
      </top>
      <bottom/>
      <diagonal/>
    </border>
    <border>
      <left style="thin">
        <color indexed="22"/>
      </left>
      <right/>
      <top/>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bottom/>
      <diagonal/>
    </border>
  </borders>
  <cellStyleXfs count="2">
    <xf numFmtId="0" fontId="0" fillId="0" borderId="0"/>
    <xf numFmtId="164" fontId="2" fillId="0" borderId="0" applyFont="0" applyFill="0" applyBorder="0" applyAlignment="0" applyProtection="0"/>
  </cellStyleXfs>
  <cellXfs count="52">
    <xf numFmtId="0" fontId="0" fillId="0" borderId="0" xfId="0"/>
    <xf numFmtId="0" fontId="0" fillId="2" borderId="1" xfId="0" applyFill="1" applyBorder="1"/>
    <xf numFmtId="0" fontId="0" fillId="2" borderId="0" xfId="0" applyFill="1" applyBorder="1"/>
    <xf numFmtId="0" fontId="0" fillId="2" borderId="2" xfId="0" applyFill="1" applyBorder="1"/>
    <xf numFmtId="0" fontId="1" fillId="0" borderId="0" xfId="0" applyFont="1" applyFill="1" applyBorder="1"/>
    <xf numFmtId="0" fontId="0" fillId="0" borderId="0" xfId="0" applyFill="1" applyBorder="1"/>
    <xf numFmtId="0" fontId="3" fillId="0" borderId="0" xfId="0" applyFont="1" applyFill="1" applyBorder="1"/>
    <xf numFmtId="0" fontId="5" fillId="0" borderId="0" xfId="0" applyFont="1" applyFill="1" applyBorder="1"/>
    <xf numFmtId="0" fontId="6" fillId="0" borderId="0" xfId="0" applyFont="1" applyFill="1" applyBorder="1"/>
    <xf numFmtId="18" fontId="4" fillId="0" borderId="0" xfId="0" applyNumberFormat="1" applyFont="1" applyFill="1" applyBorder="1" applyAlignment="1">
      <alignment horizontal="center"/>
    </xf>
    <xf numFmtId="2" fontId="0" fillId="0" borderId="0" xfId="0" applyNumberFormat="1" applyFill="1" applyBorder="1"/>
    <xf numFmtId="0" fontId="0" fillId="0" borderId="3" xfId="0" applyBorder="1"/>
    <xf numFmtId="2" fontId="0" fillId="0" borderId="4" xfId="0" applyNumberFormat="1" applyFill="1" applyBorder="1"/>
    <xf numFmtId="2" fontId="0" fillId="0" borderId="5" xfId="0" applyNumberFormat="1" applyFill="1" applyBorder="1"/>
    <xf numFmtId="2" fontId="0" fillId="0" borderId="6" xfId="0" applyNumberFormat="1" applyFill="1" applyBorder="1"/>
    <xf numFmtId="2" fontId="0" fillId="0" borderId="7" xfId="0" applyNumberFormat="1" applyFill="1" applyBorder="1"/>
    <xf numFmtId="2" fontId="0" fillId="0" borderId="8" xfId="0" applyNumberFormat="1" applyFill="1" applyBorder="1"/>
    <xf numFmtId="2" fontId="0" fillId="0" borderId="9" xfId="0" applyNumberFormat="1" applyFill="1" applyBorder="1"/>
    <xf numFmtId="0" fontId="0" fillId="0" borderId="10" xfId="0" applyFill="1" applyBorder="1"/>
    <xf numFmtId="0" fontId="0" fillId="0" borderId="11" xfId="0" applyFill="1" applyBorder="1"/>
    <xf numFmtId="2" fontId="7" fillId="0" borderId="0" xfId="0" applyNumberFormat="1" applyFont="1" applyFill="1" applyBorder="1"/>
    <xf numFmtId="0" fontId="8" fillId="0" borderId="0" xfId="0" applyFont="1"/>
    <xf numFmtId="164" fontId="0" fillId="0" borderId="0" xfId="1" applyFont="1"/>
    <xf numFmtId="1" fontId="7" fillId="0" borderId="0" xfId="0" applyNumberFormat="1" applyFont="1" applyFill="1" applyBorder="1"/>
    <xf numFmtId="0" fontId="5" fillId="0" borderId="0" xfId="0" applyFont="1" applyFill="1" applyBorder="1" applyAlignment="1">
      <alignment horizontal="center"/>
    </xf>
    <xf numFmtId="0" fontId="0" fillId="0" borderId="1" xfId="0" applyFill="1" applyBorder="1"/>
    <xf numFmtId="0" fontId="0" fillId="0" borderId="2" xfId="0" applyFill="1" applyBorder="1"/>
    <xf numFmtId="0" fontId="9" fillId="0" borderId="0" xfId="0" applyFont="1" applyProtection="1">
      <protection locked="0"/>
    </xf>
    <xf numFmtId="0" fontId="0" fillId="0" borderId="12" xfId="0" applyBorder="1" applyAlignment="1">
      <alignment horizontal="right"/>
    </xf>
    <xf numFmtId="0" fontId="0" fillId="0" borderId="0" xfId="0" applyAlignment="1">
      <alignment horizontal="center"/>
    </xf>
    <xf numFmtId="0" fontId="8" fillId="0" borderId="0" xfId="0" applyFont="1" applyFill="1"/>
    <xf numFmtId="0" fontId="0" fillId="0" borderId="0" xfId="0" applyFill="1"/>
    <xf numFmtId="164" fontId="0" fillId="0" borderId="0" xfId="1" applyFont="1" applyFill="1"/>
    <xf numFmtId="165" fontId="0" fillId="0" borderId="0" xfId="0" applyNumberFormat="1" applyAlignment="1">
      <alignment horizontal="center"/>
    </xf>
    <xf numFmtId="2" fontId="13" fillId="0" borderId="0" xfId="0" applyNumberFormat="1" applyFont="1" applyFill="1" applyBorder="1" applyAlignment="1">
      <alignment horizontal="center"/>
    </xf>
    <xf numFmtId="165" fontId="0" fillId="0" borderId="12" xfId="0" applyNumberFormat="1" applyBorder="1" applyAlignment="1">
      <alignment horizontal="center"/>
    </xf>
    <xf numFmtId="1" fontId="7" fillId="0" borderId="0" xfId="0" applyNumberFormat="1" applyFont="1" applyFill="1" applyBorder="1" applyAlignment="1">
      <alignment horizontal="right"/>
    </xf>
    <xf numFmtId="2" fontId="12" fillId="0" borderId="0" xfId="0" applyNumberFormat="1" applyFont="1" applyFill="1" applyBorder="1"/>
    <xf numFmtId="1" fontId="12" fillId="0" borderId="0" xfId="0" applyNumberFormat="1" applyFont="1" applyFill="1" applyBorder="1"/>
    <xf numFmtId="0" fontId="12" fillId="0" borderId="0" xfId="0" applyFont="1"/>
    <xf numFmtId="0" fontId="14" fillId="3" borderId="0" xfId="0" applyFont="1" applyFill="1" applyBorder="1" applyAlignment="1">
      <alignment horizontal="center"/>
    </xf>
    <xf numFmtId="0" fontId="16" fillId="0" borderId="0" xfId="0" applyFont="1"/>
    <xf numFmtId="0" fontId="0" fillId="0" borderId="0" xfId="0" quotePrefix="1"/>
    <xf numFmtId="0" fontId="10" fillId="4" borderId="4" xfId="0" applyFont="1" applyFill="1" applyBorder="1" applyAlignment="1">
      <alignment horizontal="left" vertical="distributed" wrapText="1"/>
    </xf>
    <xf numFmtId="0" fontId="0" fillId="4" borderId="5" xfId="0" applyFill="1" applyBorder="1" applyAlignment="1">
      <alignment horizontal="left" vertical="distributed" wrapText="1"/>
    </xf>
    <xf numFmtId="0" fontId="0" fillId="4" borderId="6" xfId="0" applyFill="1" applyBorder="1" applyAlignment="1">
      <alignment horizontal="left" vertical="distributed" wrapText="1"/>
    </xf>
    <xf numFmtId="0" fontId="0" fillId="4" borderId="13" xfId="0" applyFill="1" applyBorder="1" applyAlignment="1">
      <alignment horizontal="left" vertical="distributed" wrapText="1"/>
    </xf>
    <xf numFmtId="0" fontId="0" fillId="4" borderId="0" xfId="0" applyFill="1" applyBorder="1" applyAlignment="1">
      <alignment horizontal="left" vertical="distributed" wrapText="1"/>
    </xf>
    <xf numFmtId="0" fontId="0" fillId="4" borderId="14" xfId="0" applyFill="1" applyBorder="1" applyAlignment="1">
      <alignment horizontal="left" vertical="distributed" wrapText="1"/>
    </xf>
    <xf numFmtId="0" fontId="0" fillId="4" borderId="7" xfId="0" applyFill="1" applyBorder="1" applyAlignment="1">
      <alignment horizontal="left" vertical="distributed" wrapText="1"/>
    </xf>
    <xf numFmtId="0" fontId="0" fillId="4" borderId="8" xfId="0" applyFill="1" applyBorder="1" applyAlignment="1">
      <alignment horizontal="left" vertical="distributed" wrapText="1"/>
    </xf>
    <xf numFmtId="0" fontId="0" fillId="4" borderId="9" xfId="0" applyFill="1" applyBorder="1" applyAlignment="1">
      <alignment horizontal="left" vertical="distributed" wrapText="1"/>
    </xf>
  </cellXfs>
  <cellStyles count="2">
    <cellStyle name="Comma" xfId="1" builtinId="3"/>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epixanalytics.com/" TargetMode="Externa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355600</xdr:colOff>
          <xdr:row>14</xdr:row>
          <xdr:rowOff>31750</xdr:rowOff>
        </xdr:from>
        <xdr:to>
          <xdr:col>5</xdr:col>
          <xdr:colOff>730250</xdr:colOff>
          <xdr:row>15</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 Macro</a:t>
              </a:r>
            </a:p>
          </xdr:txBody>
        </xdr:sp>
        <xdr:clientData fPrintsWithSheet="0"/>
      </xdr:twoCellAnchor>
    </mc:Choice>
    <mc:Fallback/>
  </mc:AlternateContent>
  <xdr:twoCellAnchor editAs="oneCell">
    <xdr:from>
      <xdr:col>1</xdr:col>
      <xdr:colOff>0</xdr:colOff>
      <xdr:row>0</xdr:row>
      <xdr:rowOff>19050</xdr:rowOff>
    </xdr:from>
    <xdr:to>
      <xdr:col>1</xdr:col>
      <xdr:colOff>1778000</xdr:colOff>
      <xdr:row>1</xdr:row>
      <xdr:rowOff>0</xdr:rowOff>
    </xdr:to>
    <xdr:pic>
      <xdr:nvPicPr>
        <xdr:cNvPr id="2" name="Picture 126">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00" y="19050"/>
          <a:ext cx="1778000" cy="7048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
  <sheetViews>
    <sheetView workbookViewId="0"/>
  </sheetViews>
  <sheetFormatPr defaultRowHeight="12.5" x14ac:dyDescent="0.25"/>
  <sheetData>
    <row r="1" spans="1:10" x14ac:dyDescent="0.25">
      <c r="A1">
        <v>0</v>
      </c>
      <c r="B1">
        <v>0</v>
      </c>
      <c r="C1">
        <v>1</v>
      </c>
      <c r="D1" t="e">
        <f ca="1">_xll.RiskReturnFullyQualifiedCellAddr(Model!$C$15)</f>
        <v>#NAME?</v>
      </c>
      <c r="E1">
        <v>5</v>
      </c>
      <c r="F1">
        <v>98</v>
      </c>
      <c r="G1">
        <v>79</v>
      </c>
      <c r="H1">
        <v>119</v>
      </c>
      <c r="I1">
        <v>96</v>
      </c>
      <c r="J1">
        <v>109</v>
      </c>
    </row>
  </sheetData>
  <phoneticPr fontId="0" type="noConversion"/>
  <pageMargins left="0.75" right="0.75" top="1" bottom="1" header="0.5" footer="0.5"/>
  <pageSetup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1"/>
  <sheetViews>
    <sheetView workbookViewId="0"/>
  </sheetViews>
  <sheetFormatPr defaultRowHeight="12.5" x14ac:dyDescent="0.25"/>
  <cols>
    <col min="1" max="2" width="36.6328125" customWidth="1"/>
  </cols>
  <sheetData>
    <row r="1" spans="1:3" ht="13" x14ac:dyDescent="0.3">
      <c r="A1" s="41" t="s">
        <v>88</v>
      </c>
    </row>
    <row r="3" spans="1:3" x14ac:dyDescent="0.25">
      <c r="A3" t="s">
        <v>89</v>
      </c>
      <c r="B3" t="s">
        <v>90</v>
      </c>
      <c r="C3">
        <v>0</v>
      </c>
    </row>
    <row r="4" spans="1:3" x14ac:dyDescent="0.25">
      <c r="A4" t="s">
        <v>91</v>
      </c>
    </row>
    <row r="5" spans="1:3" x14ac:dyDescent="0.25">
      <c r="A5" t="s">
        <v>92</v>
      </c>
    </row>
    <row r="7" spans="1:3" ht="13" x14ac:dyDescent="0.3">
      <c r="A7" s="41" t="s">
        <v>93</v>
      </c>
      <c r="B7" t="s">
        <v>94</v>
      </c>
    </row>
    <row r="8" spans="1:3" x14ac:dyDescent="0.25">
      <c r="B8">
        <v>2</v>
      </c>
    </row>
    <row r="10" spans="1:3" x14ac:dyDescent="0.25">
      <c r="A10" t="s">
        <v>95</v>
      </c>
    </row>
    <row r="11" spans="1:3" x14ac:dyDescent="0.25">
      <c r="A11" t="e">
        <f>CB_DATA_!#REF!</f>
        <v>#REF!</v>
      </c>
      <c r="B11" t="e">
        <f>Model!#REF!</f>
        <v>#REF!</v>
      </c>
    </row>
    <row r="13" spans="1:3" x14ac:dyDescent="0.25">
      <c r="A13" t="s">
        <v>96</v>
      </c>
    </row>
    <row r="14" spans="1:3" x14ac:dyDescent="0.25">
      <c r="A14" t="s">
        <v>100</v>
      </c>
      <c r="B14" t="s">
        <v>104</v>
      </c>
    </row>
    <row r="16" spans="1:3" x14ac:dyDescent="0.25">
      <c r="A16" t="s">
        <v>97</v>
      </c>
    </row>
    <row r="19" spans="1:2" x14ac:dyDescent="0.25">
      <c r="A19" t="s">
        <v>98</v>
      </c>
    </row>
    <row r="20" spans="1:2" x14ac:dyDescent="0.25">
      <c r="A20">
        <v>28</v>
      </c>
      <c r="B20">
        <v>31</v>
      </c>
    </row>
    <row r="25" spans="1:2" ht="13" x14ac:dyDescent="0.3">
      <c r="A25" s="41" t="s">
        <v>99</v>
      </c>
    </row>
    <row r="26" spans="1:2" x14ac:dyDescent="0.25">
      <c r="A26" s="42" t="s">
        <v>101</v>
      </c>
      <c r="B26" s="42" t="s">
        <v>101</v>
      </c>
    </row>
    <row r="27" spans="1:2" x14ac:dyDescent="0.25">
      <c r="A27" t="s">
        <v>102</v>
      </c>
      <c r="B27" t="s">
        <v>105</v>
      </c>
    </row>
    <row r="28" spans="1:2" x14ac:dyDescent="0.25">
      <c r="A28" s="42" t="s">
        <v>103</v>
      </c>
      <c r="B28" s="42" t="s">
        <v>103</v>
      </c>
    </row>
    <row r="29" spans="1:2" x14ac:dyDescent="0.25">
      <c r="B29" s="42" t="s">
        <v>106</v>
      </c>
    </row>
    <row r="30" spans="1:2" x14ac:dyDescent="0.25">
      <c r="B30" t="s">
        <v>107</v>
      </c>
    </row>
    <row r="31" spans="1:2" x14ac:dyDescent="0.25">
      <c r="B31" s="42" t="s">
        <v>103</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del">
    <pageSetUpPr fitToPage="1"/>
  </sheetPr>
  <dimension ref="A1:G27"/>
  <sheetViews>
    <sheetView showGridLines="0" tabSelected="1" workbookViewId="0">
      <selection activeCell="B18" sqref="B18:F22"/>
    </sheetView>
  </sheetViews>
  <sheetFormatPr defaultColWidth="0" defaultRowHeight="12.5" zeroHeight="1" x14ac:dyDescent="0.25"/>
  <cols>
    <col min="1" max="1" width="2.7265625" style="3" customWidth="1"/>
    <col min="2" max="2" width="31.7265625" style="2" customWidth="1"/>
    <col min="3" max="3" width="11" style="2" customWidth="1"/>
    <col min="4" max="4" width="9.81640625" style="2" customWidth="1"/>
    <col min="5" max="5" width="11.54296875" style="2" customWidth="1"/>
    <col min="6" max="6" width="14.1796875" style="2" customWidth="1"/>
    <col min="7" max="7" width="2.7265625" style="5" customWidth="1"/>
    <col min="8" max="16384" width="0" style="2" hidden="1"/>
  </cols>
  <sheetData>
    <row r="1" spans="1:7" s="1" customFormat="1" ht="57" customHeight="1" x14ac:dyDescent="0.4">
      <c r="A1" s="25"/>
      <c r="B1" s="25"/>
      <c r="C1" s="25"/>
      <c r="D1" s="27" t="s">
        <v>84</v>
      </c>
      <c r="E1" s="25"/>
      <c r="F1" s="25"/>
      <c r="G1" s="25"/>
    </row>
    <row r="2" spans="1:7" ht="13" x14ac:dyDescent="0.3">
      <c r="A2" s="5"/>
      <c r="B2" s="8" t="s">
        <v>0</v>
      </c>
      <c r="C2" s="5"/>
      <c r="D2"/>
      <c r="E2"/>
      <c r="F2"/>
    </row>
    <row r="3" spans="1:7" x14ac:dyDescent="0.25">
      <c r="A3" s="5"/>
      <c r="B3" s="5" t="s">
        <v>1</v>
      </c>
      <c r="C3" s="24">
        <v>12</v>
      </c>
      <c r="D3"/>
      <c r="E3"/>
      <c r="F3"/>
    </row>
    <row r="4" spans="1:7" x14ac:dyDescent="0.25">
      <c r="A4" s="5"/>
      <c r="B4" s="5" t="s">
        <v>2</v>
      </c>
      <c r="C4" s="24">
        <v>12</v>
      </c>
      <c r="D4"/>
      <c r="E4"/>
      <c r="F4"/>
    </row>
    <row r="5" spans="1:7" x14ac:dyDescent="0.25">
      <c r="A5" s="5"/>
      <c r="B5" s="5" t="s">
        <v>3</v>
      </c>
      <c r="C5" s="24">
        <v>14</v>
      </c>
      <c r="D5" s="5"/>
      <c r="E5" s="9"/>
      <c r="F5" s="5"/>
    </row>
    <row r="6" spans="1:7" x14ac:dyDescent="0.25">
      <c r="A6" s="26"/>
      <c r="B6" s="5"/>
      <c r="C6" s="5"/>
      <c r="D6" s="5"/>
      <c r="E6" s="5"/>
      <c r="F6" s="5"/>
    </row>
    <row r="7" spans="1:7" ht="13" x14ac:dyDescent="0.3">
      <c r="A7" s="5"/>
      <c r="B7" s="4" t="s">
        <v>4</v>
      </c>
      <c r="C7" s="5"/>
      <c r="D7" s="5"/>
      <c r="E7" s="5"/>
      <c r="F7" s="5"/>
    </row>
    <row r="8" spans="1:7" x14ac:dyDescent="0.25">
      <c r="A8" s="5"/>
      <c r="B8" s="5" t="s">
        <v>5</v>
      </c>
      <c r="C8" s="5">
        <v>-40.234999999999999</v>
      </c>
      <c r="D8" s="5"/>
      <c r="E8" s="5"/>
      <c r="F8" s="10"/>
    </row>
    <row r="9" spans="1:7" x14ac:dyDescent="0.25">
      <c r="A9" s="5"/>
      <c r="B9" t="s">
        <v>6</v>
      </c>
      <c r="C9" s="10">
        <v>1032</v>
      </c>
      <c r="D9" s="5"/>
      <c r="E9" s="5"/>
      <c r="F9" s="5"/>
    </row>
    <row r="10" spans="1:7" ht="13" thickBot="1" x14ac:dyDescent="0.3">
      <c r="A10" s="5"/>
      <c r="B10" s="5"/>
      <c r="C10" t="s">
        <v>7</v>
      </c>
      <c r="D10" s="5" t="s">
        <v>8</v>
      </c>
      <c r="E10" s="5" t="s">
        <v>9</v>
      </c>
      <c r="F10" s="5" t="s">
        <v>10</v>
      </c>
    </row>
    <row r="11" spans="1:7" x14ac:dyDescent="0.25">
      <c r="A11" s="5"/>
      <c r="B11" s="5" t="s">
        <v>11</v>
      </c>
      <c r="C11" s="18">
        <v>0</v>
      </c>
      <c r="D11" s="12">
        <v>1020</v>
      </c>
      <c r="E11" s="13">
        <v>12</v>
      </c>
      <c r="F11" s="14">
        <f>E11+D11</f>
        <v>1032</v>
      </c>
    </row>
    <row r="12" spans="1:7" ht="13" thickBot="1" x14ac:dyDescent="0.3">
      <c r="A12" s="5"/>
      <c r="B12" s="5" t="s">
        <v>12</v>
      </c>
      <c r="C12" s="19">
        <v>0</v>
      </c>
      <c r="D12" s="15">
        <v>1020</v>
      </c>
      <c r="E12" s="16">
        <v>12</v>
      </c>
      <c r="F12" s="17">
        <f>E12+D12</f>
        <v>1032</v>
      </c>
    </row>
    <row r="13" spans="1:7" x14ac:dyDescent="0.25">
      <c r="A13" s="26"/>
      <c r="B13" s="5"/>
      <c r="C13" s="5"/>
      <c r="D13" s="5"/>
      <c r="E13" s="5"/>
      <c r="F13" s="5"/>
    </row>
    <row r="14" spans="1:7" ht="13" x14ac:dyDescent="0.3">
      <c r="A14" s="5"/>
      <c r="B14" s="6" t="s">
        <v>13</v>
      </c>
      <c r="C14" s="5"/>
      <c r="D14" s="5"/>
      <c r="E14" s="5"/>
      <c r="F14" s="5"/>
    </row>
    <row r="15" spans="1:7" ht="13" x14ac:dyDescent="0.3">
      <c r="A15" s="5"/>
      <c r="B15" s="5" t="s">
        <v>14</v>
      </c>
      <c r="C15" s="40">
        <v>82</v>
      </c>
      <c r="D15" s="7"/>
      <c r="E15" s="5"/>
      <c r="F15" s="5"/>
    </row>
    <row r="16" spans="1:7" ht="13" x14ac:dyDescent="0.3">
      <c r="A16" s="5"/>
      <c r="B16" s="5" t="s">
        <v>15</v>
      </c>
      <c r="C16" s="40">
        <v>1.7649999999999997</v>
      </c>
      <c r="D16" s="7"/>
      <c r="E16" s="5"/>
      <c r="F16" s="5"/>
    </row>
    <row r="17" spans="1:6" ht="13" thickBot="1" x14ac:dyDescent="0.3">
      <c r="A17" s="5"/>
      <c r="B17" s="5"/>
      <c r="C17" s="5"/>
      <c r="D17" s="5"/>
      <c r="E17" s="5"/>
      <c r="F17" s="5"/>
    </row>
    <row r="18" spans="1:6" x14ac:dyDescent="0.25">
      <c r="A18" s="26"/>
      <c r="B18" s="43" t="s">
        <v>108</v>
      </c>
      <c r="C18" s="44"/>
      <c r="D18" s="44"/>
      <c r="E18" s="44"/>
      <c r="F18" s="45"/>
    </row>
    <row r="19" spans="1:6" x14ac:dyDescent="0.25">
      <c r="A19" s="26"/>
      <c r="B19" s="46"/>
      <c r="C19" s="47"/>
      <c r="D19" s="47"/>
      <c r="E19" s="47"/>
      <c r="F19" s="48"/>
    </row>
    <row r="20" spans="1:6" x14ac:dyDescent="0.25">
      <c r="A20" s="26"/>
      <c r="B20" s="46"/>
      <c r="C20" s="47"/>
      <c r="D20" s="47"/>
      <c r="E20" s="47"/>
      <c r="F20" s="48"/>
    </row>
    <row r="21" spans="1:6" x14ac:dyDescent="0.25">
      <c r="A21" s="26"/>
      <c r="B21" s="46"/>
      <c r="C21" s="47"/>
      <c r="D21" s="47"/>
      <c r="E21" s="47"/>
      <c r="F21" s="48"/>
    </row>
    <row r="22" spans="1:6" ht="13" thickBot="1" x14ac:dyDescent="0.3">
      <c r="A22" s="26"/>
      <c r="B22" s="49"/>
      <c r="C22" s="50"/>
      <c r="D22" s="50"/>
      <c r="E22" s="50"/>
      <c r="F22" s="51"/>
    </row>
    <row r="23" spans="1:6" ht="45" customHeight="1" x14ac:dyDescent="0.25">
      <c r="A23" s="26"/>
      <c r="B23" s="43" t="s">
        <v>87</v>
      </c>
      <c r="C23" s="44"/>
      <c r="D23" s="44"/>
      <c r="E23" s="44"/>
      <c r="F23" s="45"/>
    </row>
    <row r="24" spans="1:6" hidden="1" x14ac:dyDescent="0.25">
      <c r="B24" s="46"/>
      <c r="C24" s="47"/>
      <c r="D24" s="47"/>
      <c r="E24" s="47"/>
      <c r="F24" s="48"/>
    </row>
    <row r="25" spans="1:6" hidden="1" x14ac:dyDescent="0.25">
      <c r="B25" s="46"/>
      <c r="C25" s="47"/>
      <c r="D25" s="47"/>
      <c r="E25" s="47"/>
      <c r="F25" s="48"/>
    </row>
    <row r="26" spans="1:6" hidden="1" x14ac:dyDescent="0.25">
      <c r="B26" s="46"/>
      <c r="C26" s="47"/>
      <c r="D26" s="47"/>
      <c r="E26" s="47"/>
      <c r="F26" s="48"/>
    </row>
    <row r="27" spans="1:6" ht="13" hidden="1" thickBot="1" x14ac:dyDescent="0.3">
      <c r="B27" s="49"/>
      <c r="C27" s="50"/>
      <c r="D27" s="50"/>
      <c r="E27" s="50"/>
      <c r="F27" s="51"/>
    </row>
  </sheetData>
  <mergeCells count="2">
    <mergeCell ref="B18:F22"/>
    <mergeCell ref="B23:F27"/>
  </mergeCells>
  <phoneticPr fontId="0" type="noConversion"/>
  <printOptions horizontalCentered="1" verticalCentered="1" headings="1" gridLines="1"/>
  <pageMargins left="0.74803149606299213" right="0.74803149606299213" top="0.98425196850393704" bottom="0.98425196850393704" header="0.51181102362204722" footer="0.51181102362204722"/>
  <pageSetup paperSize="9" orientation="landscape" horizontalDpi="4294967292" verticalDpi="1200" r:id="rId1"/>
  <headerFooter alignWithMargins="0">
    <oddHeader>&amp;C&amp;A</oddHeader>
    <oddFooter>&amp;CPage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Model.Main_Program">
                <anchor moveWithCells="1" sizeWithCells="1">
                  <from>
                    <xdr:col>4</xdr:col>
                    <xdr:colOff>355600</xdr:colOff>
                    <xdr:row>14</xdr:row>
                    <xdr:rowOff>31750</xdr:rowOff>
                  </from>
                  <to>
                    <xdr:col>5</xdr:col>
                    <xdr:colOff>730250</xdr:colOff>
                    <xdr:row>15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J15"/>
  <sheetViews>
    <sheetView workbookViewId="0"/>
  </sheetViews>
  <sheetFormatPr defaultColWidth="10.7265625" defaultRowHeight="12.5" x14ac:dyDescent="0.25"/>
  <cols>
    <col min="1" max="1" width="11.7265625" customWidth="1"/>
    <col min="2" max="4" width="10.7265625" customWidth="1"/>
    <col min="5" max="5" width="12.7265625" customWidth="1"/>
  </cols>
  <sheetData>
    <row r="1" spans="1:62" x14ac:dyDescent="0.25">
      <c r="A1" t="s">
        <v>16</v>
      </c>
      <c r="B1" t="str">
        <f>Variables!$A$10</f>
        <v>Time in last step</v>
      </c>
      <c r="C1">
        <v>1</v>
      </c>
      <c r="D1">
        <v>1.01E+300</v>
      </c>
      <c r="F1" t="s">
        <v>17</v>
      </c>
      <c r="I1" t="s">
        <v>18</v>
      </c>
      <c r="J1">
        <v>3</v>
      </c>
      <c r="L1" t="s">
        <v>19</v>
      </c>
      <c r="M1" t="b">
        <v>1</v>
      </c>
      <c r="O1" t="s">
        <v>20</v>
      </c>
    </row>
    <row r="2" spans="1:62" x14ac:dyDescent="0.25">
      <c r="A2" t="s">
        <v>21</v>
      </c>
      <c r="B2">
        <v>2</v>
      </c>
      <c r="C2">
        <v>0</v>
      </c>
      <c r="F2" t="s">
        <v>22</v>
      </c>
      <c r="G2" t="b">
        <v>0</v>
      </c>
      <c r="I2" t="s">
        <v>23</v>
      </c>
      <c r="L2" t="s">
        <v>24</v>
      </c>
      <c r="M2">
        <v>1000</v>
      </c>
      <c r="O2" t="s">
        <v>25</v>
      </c>
    </row>
    <row r="3" spans="1:62" x14ac:dyDescent="0.25">
      <c r="A3" t="s">
        <v>26</v>
      </c>
      <c r="B3" t="b">
        <v>0</v>
      </c>
      <c r="C3">
        <v>1000</v>
      </c>
      <c r="F3" t="s">
        <v>27</v>
      </c>
      <c r="G3" t="b">
        <v>0</v>
      </c>
      <c r="L3" t="s">
        <v>28</v>
      </c>
      <c r="M3">
        <v>1</v>
      </c>
      <c r="N3">
        <v>0</v>
      </c>
      <c r="O3" t="s">
        <v>29</v>
      </c>
    </row>
    <row r="4" spans="1:62" x14ac:dyDescent="0.25">
      <c r="A4" t="s">
        <v>30</v>
      </c>
      <c r="B4" t="b">
        <v>0</v>
      </c>
      <c r="C4">
        <v>5</v>
      </c>
      <c r="F4" t="s">
        <v>31</v>
      </c>
      <c r="G4" t="b">
        <v>0</v>
      </c>
      <c r="L4" t="s">
        <v>32</v>
      </c>
      <c r="M4" t="b">
        <v>1</v>
      </c>
      <c r="O4" t="s">
        <v>33</v>
      </c>
    </row>
    <row r="5" spans="1:62" x14ac:dyDescent="0.25">
      <c r="A5" t="s">
        <v>34</v>
      </c>
      <c r="B5" t="b">
        <v>0</v>
      </c>
      <c r="C5">
        <v>100</v>
      </c>
      <c r="D5">
        <v>1</v>
      </c>
      <c r="E5" t="b">
        <v>1</v>
      </c>
      <c r="F5" t="s">
        <v>35</v>
      </c>
      <c r="G5" t="b">
        <v>0</v>
      </c>
      <c r="L5" t="s">
        <v>36</v>
      </c>
      <c r="M5">
        <v>3</v>
      </c>
      <c r="O5" t="s">
        <v>37</v>
      </c>
    </row>
    <row r="6" spans="1:62" x14ac:dyDescent="0.25">
      <c r="A6" t="s">
        <v>38</v>
      </c>
      <c r="B6" t="b">
        <v>0</v>
      </c>
      <c r="F6" t="s">
        <v>39</v>
      </c>
      <c r="G6" t="b">
        <v>0</v>
      </c>
      <c r="L6" t="s">
        <v>40</v>
      </c>
      <c r="M6" t="b">
        <v>0</v>
      </c>
    </row>
    <row r="7" spans="1:62" x14ac:dyDescent="0.25">
      <c r="A7" t="s">
        <v>41</v>
      </c>
      <c r="B7">
        <v>50</v>
      </c>
      <c r="L7" t="s">
        <v>42</v>
      </c>
      <c r="M7" t="b">
        <v>0</v>
      </c>
    </row>
    <row r="8" spans="1:62" x14ac:dyDescent="0.25">
      <c r="A8" t="s">
        <v>43</v>
      </c>
      <c r="B8" t="s">
        <v>43</v>
      </c>
      <c r="F8" t="s">
        <v>44</v>
      </c>
      <c r="G8" t="b">
        <v>1</v>
      </c>
      <c r="H8">
        <v>1</v>
      </c>
    </row>
    <row r="9" spans="1:62" x14ac:dyDescent="0.25">
      <c r="A9" t="s">
        <v>45</v>
      </c>
      <c r="B9">
        <v>3</v>
      </c>
    </row>
    <row r="10" spans="1:62" x14ac:dyDescent="0.25">
      <c r="A10" t="s">
        <v>46</v>
      </c>
      <c r="B10" t="b">
        <v>0</v>
      </c>
    </row>
    <row r="11" spans="1:62" x14ac:dyDescent="0.25">
      <c r="A11" t="s">
        <v>47</v>
      </c>
      <c r="B11" t="b">
        <v>1</v>
      </c>
    </row>
    <row r="12" spans="1:62" x14ac:dyDescent="0.25">
      <c r="A12" t="s">
        <v>48</v>
      </c>
      <c r="B12" t="b">
        <v>0</v>
      </c>
    </row>
    <row r="14" spans="1:62" ht="13" thickBot="1" x14ac:dyDescent="0.3">
      <c r="A14" t="s">
        <v>49</v>
      </c>
      <c r="B14">
        <v>0</v>
      </c>
      <c r="AX14" t="s">
        <v>50</v>
      </c>
      <c r="AY14">
        <v>0</v>
      </c>
    </row>
    <row r="15" spans="1:62" s="11" customFormat="1" ht="13" thickTop="1" x14ac:dyDescent="0.25">
      <c r="A15" s="11" t="s">
        <v>51</v>
      </c>
      <c r="B15" s="11" t="s">
        <v>52</v>
      </c>
      <c r="C15" s="11" t="s">
        <v>53</v>
      </c>
      <c r="D15" s="11" t="s">
        <v>54</v>
      </c>
      <c r="E15" s="11" t="s">
        <v>55</v>
      </c>
      <c r="F15" s="11" t="s">
        <v>56</v>
      </c>
      <c r="G15" s="11" t="s">
        <v>57</v>
      </c>
      <c r="H15" s="11" t="s">
        <v>58</v>
      </c>
      <c r="I15" s="11" t="s">
        <v>33</v>
      </c>
      <c r="J15" s="11" t="s">
        <v>37</v>
      </c>
      <c r="K15" s="11" t="s">
        <v>59</v>
      </c>
      <c r="AT15" s="11" t="s">
        <v>60</v>
      </c>
      <c r="AU15" s="11" t="s">
        <v>61</v>
      </c>
      <c r="AV15" s="11" t="s">
        <v>62</v>
      </c>
      <c r="AW15" s="11" t="s">
        <v>63</v>
      </c>
      <c r="AX15" s="11" t="s">
        <v>64</v>
      </c>
      <c r="AY15" s="11" t="s">
        <v>65</v>
      </c>
      <c r="AZ15" s="11" t="s">
        <v>66</v>
      </c>
      <c r="BA15" s="11" t="s">
        <v>67</v>
      </c>
      <c r="BB15" s="11" t="s">
        <v>68</v>
      </c>
      <c r="BC15" s="11" t="s">
        <v>69</v>
      </c>
      <c r="BD15" s="11" t="s">
        <v>70</v>
      </c>
      <c r="BE15" s="11" t="s">
        <v>71</v>
      </c>
      <c r="BF15" s="11" t="s">
        <v>72</v>
      </c>
      <c r="BG15" s="11" t="s">
        <v>73</v>
      </c>
      <c r="BH15" s="11" t="s">
        <v>74</v>
      </c>
      <c r="BI15" s="11" t="s">
        <v>75</v>
      </c>
      <c r="BJ15" s="11" t="s">
        <v>76</v>
      </c>
    </row>
  </sheetData>
  <phoneticPr fontId="0" type="noConversion"/>
  <pageMargins left="0.75" right="0.7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F10"/>
  <sheetViews>
    <sheetView showGridLines="0" workbookViewId="0"/>
  </sheetViews>
  <sheetFormatPr defaultRowHeight="12.5" x14ac:dyDescent="0.25"/>
  <cols>
    <col min="1" max="1" width="29.7265625" customWidth="1"/>
    <col min="2" max="2" width="20" customWidth="1"/>
    <col min="3" max="3" width="20" style="31" customWidth="1"/>
    <col min="5" max="5" width="23.7265625" customWidth="1"/>
    <col min="6" max="6" width="11.1796875" style="29" customWidth="1"/>
  </cols>
  <sheetData>
    <row r="1" spans="1:6" ht="15.5" x14ac:dyDescent="0.35">
      <c r="A1" s="21" t="s">
        <v>77</v>
      </c>
      <c r="B1" s="21" t="s">
        <v>78</v>
      </c>
      <c r="C1" s="30"/>
      <c r="E1" t="s">
        <v>82</v>
      </c>
      <c r="F1" s="33" t="s">
        <v>85</v>
      </c>
    </row>
    <row r="2" spans="1:6" ht="13" x14ac:dyDescent="0.3">
      <c r="A2" t="s">
        <v>79</v>
      </c>
      <c r="B2" s="37">
        <f ca="1">_xll.CB.Lognormal(Model!$C$4,Model!$C$5)</f>
        <v>12</v>
      </c>
      <c r="C2" s="20"/>
      <c r="E2">
        <v>0</v>
      </c>
      <c r="F2" s="33">
        <v>0.6</v>
      </c>
    </row>
    <row r="3" spans="1:6" ht="13" x14ac:dyDescent="0.3">
      <c r="B3" s="37"/>
      <c r="C3" s="34"/>
      <c r="E3">
        <v>1</v>
      </c>
      <c r="F3" s="33">
        <v>0.2</v>
      </c>
    </row>
    <row r="4" spans="1:6" ht="13" x14ac:dyDescent="0.3">
      <c r="A4" t="s">
        <v>80</v>
      </c>
      <c r="B4" s="38">
        <f ca="1">IF(B10=0,0,_xll.CB.Poisson(B10/Model!C3))</f>
        <v>1</v>
      </c>
      <c r="C4" s="36"/>
      <c r="E4">
        <v>2</v>
      </c>
      <c r="F4" s="33">
        <v>0.1</v>
      </c>
    </row>
    <row r="5" spans="1:6" ht="13" x14ac:dyDescent="0.3">
      <c r="B5" s="37"/>
      <c r="C5" s="20"/>
      <c r="E5">
        <v>3</v>
      </c>
      <c r="F5" s="33">
        <v>0.05</v>
      </c>
    </row>
    <row r="6" spans="1:6" ht="13" x14ac:dyDescent="0.3">
      <c r="A6" t="s">
        <v>81</v>
      </c>
      <c r="B6" s="37">
        <f ca="1">_xll.CB.Exponential(1/Model!C3)</f>
        <v>12</v>
      </c>
      <c r="C6" s="20"/>
      <c r="E6">
        <v>4</v>
      </c>
      <c r="F6" s="33">
        <v>3.5000000000000003E-2</v>
      </c>
    </row>
    <row r="7" spans="1:6" x14ac:dyDescent="0.25">
      <c r="B7" s="39"/>
      <c r="E7">
        <v>5</v>
      </c>
      <c r="F7" s="33">
        <v>1.4999999999999999E-2</v>
      </c>
    </row>
    <row r="8" spans="1:6" ht="13.5" thickBot="1" x14ac:dyDescent="0.35">
      <c r="A8" t="s">
        <v>82</v>
      </c>
      <c r="B8" s="38">
        <f ca="1">_xll.CB.Custom(E2:F7)</f>
        <v>0.76499999999999979</v>
      </c>
      <c r="C8" s="23"/>
      <c r="E8" s="28" t="s">
        <v>86</v>
      </c>
      <c r="F8" s="35">
        <f>SUM(F2:F7)</f>
        <v>1</v>
      </c>
    </row>
    <row r="10" spans="1:6" x14ac:dyDescent="0.25">
      <c r="A10" t="s">
        <v>83</v>
      </c>
      <c r="B10" s="22">
        <v>12</v>
      </c>
      <c r="C10" s="32"/>
    </row>
  </sheetData>
  <phoneticPr fontId="0" type="noConversion"/>
  <printOptions horizontalCentered="1" verticalCentered="1" headings="1" gridLines="1"/>
  <pageMargins left="0.74803149606299213" right="0.74803149606299213" top="0.98425196850393704" bottom="0.98425196850393704" header="0.51181102362204722" footer="0.51181102362204722"/>
  <pageSetup orientation="landscape" r:id="rId1"/>
  <headerFooter alignWithMargins="0">
    <oddHeader>&amp;C&amp;A</oddHeader>
    <oddFooter>&amp;CPage &amp;P</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HiddenSheet</vt:lpstr>
      <vt:lpstr>Model</vt:lpstr>
      <vt:lpstr>Variables</vt:lpstr>
      <vt:lpstr>Model!Print_Area</vt:lpstr>
      <vt:lpstr>Variables!Print_Area</vt:lpstr>
    </vt:vector>
  </TitlesOfParts>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EpiX Analytics</dc:creator>
  <cp:keywords/>
  <dc:description/>
  <cp:lastModifiedBy>EpixAnalytics</cp:lastModifiedBy>
  <cp:lastPrinted>1999-06-16T07:26:00Z</cp:lastPrinted>
  <dcterms:created xsi:type="dcterms:W3CDTF">1999-06-05T17:57:54Z</dcterms:created>
  <dcterms:modified xsi:type="dcterms:W3CDTF">2017-06-26T14:49:11Z</dcterms:modified>
  <cp:category/>
</cp:coreProperties>
</file>